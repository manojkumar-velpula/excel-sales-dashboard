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PRACTICE\Projects\"/>
    </mc:Choice>
  </mc:AlternateContent>
  <xr:revisionPtr revIDLastSave="0" documentId="8_{C757B45B-5317-4690-B831-13B8BD40EF9A}" xr6:coauthVersionLast="47" xr6:coauthVersionMax="47" xr10:uidLastSave="{00000000-0000-0000-0000-000000000000}"/>
  <bookViews>
    <workbookView xWindow="-108" yWindow="-108" windowWidth="23256" windowHeight="12456" activeTab="3" xr2:uid="{E95591E7-3738-4FE9-96E1-C7C08A7F5F05}"/>
  </bookViews>
  <sheets>
    <sheet name="Raw_data" sheetId="1" r:id="rId1"/>
    <sheet name="cleaned_data" sheetId="2" r:id="rId2"/>
    <sheet name="Pivot_Table_area" sheetId="4" r:id="rId3"/>
    <sheet name="Dash_board" sheetId="6" r:id="rId4"/>
  </sheets>
  <definedNames>
    <definedName name="profit">cleaned_data!$G:$G</definedName>
    <definedName name="sales">cleaned_data!$F:$F</definedName>
    <definedName name="Slicer_Category">#N/A</definedName>
    <definedName name="Slicer_Months__Date">#N/A</definedName>
    <definedName name="Slicer_Product">#N/A</definedName>
    <definedName name="Slicer_Region">#N/A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6" l="1"/>
  <c r="B3" i="6"/>
  <c r="L3" i="2"/>
  <c r="L2" i="2"/>
</calcChain>
</file>

<file path=xl/sharedStrings.xml><?xml version="1.0" encoding="utf-8"?>
<sst xmlns="http://schemas.openxmlformats.org/spreadsheetml/2006/main" count="246" uniqueCount="84">
  <si>
    <t>Order_ID,Date,Region,Product,Category,Sales,Profit</t>
  </si>
  <si>
    <t>1001,01-01-2024,South,Laptop,Electronics,55000,8000</t>
  </si>
  <si>
    <t>1002,02-01-2024,North,Phone,Electronics,30000,5000</t>
  </si>
  <si>
    <t>1003,03-01-2024,East,Chair,Furniture,8000,1200</t>
  </si>
  <si>
    <t>1004,04-01-2024,West,Table,Furniture,12000,2000</t>
  </si>
  <si>
    <t>1005,05-01-2024,South,Printer,Electronics,15000,2500</t>
  </si>
  <si>
    <t>1006,06-01-2024,North,Laptop,Electronics,60000,9000</t>
  </si>
  <si>
    <t>1007,07-01-2024,East,Phone,Electronics,28000,4200</t>
  </si>
  <si>
    <t>1008,08-01-2024,West,Chair,Furniture,7500,1100</t>
  </si>
  <si>
    <t>1009,09-01-2024,South,Table,Furniture,13500,2200</t>
  </si>
  <si>
    <t>1010,10-01-2024,North,Printer,Electronics,17000,2600</t>
  </si>
  <si>
    <t>1011,11-01-2024,East,Laptop,Electronics,58000,8500</t>
  </si>
  <si>
    <t>1012,12-01-2024,West,Phone,Electronics,32000,4800</t>
  </si>
  <si>
    <t>1013,13-01-2024,South,Chair,Furniture,8200,1300</t>
  </si>
  <si>
    <t>1014,14-01-2024,North,Table,Furniture,14000,2400</t>
  </si>
  <si>
    <t>1015,15-01-2024,East,Printer,Electronics,15500,2500</t>
  </si>
  <si>
    <t>1016,16-01-2024,West,Laptop,Electronics,62000,9200</t>
  </si>
  <si>
    <t>1017,17-01-2024,South,Phone,Electronics,29500,4300</t>
  </si>
  <si>
    <t>1018,18-01-2024,North,Chair,Furniture,7800,1200</t>
  </si>
  <si>
    <t>1019,19-01-2024,East,Table,Furniture,12500,2100</t>
  </si>
  <si>
    <t>1020,20-01-2024,West,Printer,Electronics,16500,2700</t>
  </si>
  <si>
    <t>1021,21-01-2024,South,Laptop,Electronics,54000,7800</t>
  </si>
  <si>
    <t>1022,22-01-2024,North,Phone,Electronics,31000,4600</t>
  </si>
  <si>
    <t>1023,23-01-2024,East,Chair,Furniture,8300,1250</t>
  </si>
  <si>
    <t>1024,24-01-2024,West,Table,Furniture,15000,2500</t>
  </si>
  <si>
    <t>1025,25-01-2024,South,Printer,Electronics,16000,2600</t>
  </si>
  <si>
    <t>1026,26-01-2024,North,Laptop,Electronics,61000,9100</t>
  </si>
  <si>
    <t>1027,27-01-2024,East,Phone,Electronics,27500,4100</t>
  </si>
  <si>
    <t>1028,28-01-2024,West,Chair,Furniture,7900,1150</t>
  </si>
  <si>
    <t>1029,29-01-2024,South,Table,Furniture,13800,2250</t>
  </si>
  <si>
    <t>1030,30-01-2024,North,Printer,Electronics,17200,2650</t>
  </si>
  <si>
    <t>1031,31-01-2024,East,Laptop,Electronics,59000,8600</t>
  </si>
  <si>
    <t>1032,01-02-2024,West,Phone,Electronics,33000,4900</t>
  </si>
  <si>
    <t>1033,02-02-2024,South,Chair,Furniture,8100,1200</t>
  </si>
  <si>
    <t>1034,03-02-2024,North,Table,Furniture,14500,2300</t>
  </si>
  <si>
    <t>1035,04-02-2024,East,Printer,Electronics,15800,2550</t>
  </si>
  <si>
    <t>1036,05-02-2024,West,Laptop,Electronics,63000,9500</t>
  </si>
  <si>
    <t>1037,06-02-2024,South,Phone,Electronics,30000,4400</t>
  </si>
  <si>
    <t>1038,07-02-2024,North,Chair,Furniture,8200,1300</t>
  </si>
  <si>
    <t>1039,08-02-2024,East,Table,Furniture,13200,2150</t>
  </si>
  <si>
    <t>1040,09-02-2024,West,Printer,Electronics,16800,2750</t>
  </si>
  <si>
    <t>1041,10-02-2024,South,Laptop,Electronics,56000,8000</t>
  </si>
  <si>
    <t>1042,11-02-2024,North,Phone,Electronics,30500,4500</t>
  </si>
  <si>
    <t>1043,12-02-2024,East,Chair,Furniture,8400,1350</t>
  </si>
  <si>
    <t>1044,13-02-2024,West,Table,Furniture,14200,2350</t>
  </si>
  <si>
    <t>1045,14-02-2024,South,Printer,Electronics,16200,2600</t>
  </si>
  <si>
    <t>1046,15-02-2024,North,Laptop,Electronics,60500,9050</t>
  </si>
  <si>
    <t>1047,16-02-2024,East,Phone,Electronics,29000,4200</t>
  </si>
  <si>
    <t>1048,17-02-2024,West,Chair,Furniture,8000,1200</t>
  </si>
  <si>
    <t>1049,18-02-2024,South,Table,Furniture,13600,2200</t>
  </si>
  <si>
    <t>1050,19-02-2024,North,Printer,Electronics,17500,2800</t>
  </si>
  <si>
    <t>Order_ID</t>
  </si>
  <si>
    <t>Date</t>
  </si>
  <si>
    <t>Region</t>
  </si>
  <si>
    <t>Product</t>
  </si>
  <si>
    <t>Category</t>
  </si>
  <si>
    <t>Sales</t>
  </si>
  <si>
    <t>Profit</t>
  </si>
  <si>
    <t>South</t>
  </si>
  <si>
    <t>Laptop</t>
  </si>
  <si>
    <t>Electronics</t>
  </si>
  <si>
    <t>North</t>
  </si>
  <si>
    <t>Phone</t>
  </si>
  <si>
    <t>East</t>
  </si>
  <si>
    <t>Chair</t>
  </si>
  <si>
    <t>Furniture</t>
  </si>
  <si>
    <t>West</t>
  </si>
  <si>
    <t>Table</t>
  </si>
  <si>
    <t>Printer</t>
  </si>
  <si>
    <t>Total_Sales</t>
  </si>
  <si>
    <t>Total Profit</t>
  </si>
  <si>
    <t>Region wise sales</t>
  </si>
  <si>
    <t>Grand Total</t>
  </si>
  <si>
    <t>Sum of Sales</t>
  </si>
  <si>
    <t>Top Selling Product</t>
  </si>
  <si>
    <t>Category wise Sales</t>
  </si>
  <si>
    <t>Jan</t>
  </si>
  <si>
    <t>Feb</t>
  </si>
  <si>
    <t>Total Sales</t>
  </si>
  <si>
    <t>Region Sales Chart</t>
  </si>
  <si>
    <t>Monthly Sales Trend</t>
  </si>
  <si>
    <t>Sales_Dash Board</t>
  </si>
  <si>
    <t xml:space="preserve">      Category Pie Chart</t>
  </si>
  <si>
    <t xml:space="preserve">      Product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</si>
</sst>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
  </numFmts>
  <fonts count="9" x14ac:knownFonts="1">
    <font>
      <sz val="11"/>
      <color theme="1"/>
      <name val="Calibri"/>
      <family val="2"/>
      <scheme val="minor"/>
    </font>
    <font>
      <b/>
      <sz val="11"/>
      <color theme="1"/>
      <name val="Calibri"/>
      <family val="2"/>
      <scheme val="minor"/>
    </font>
    <font>
      <b/>
      <sz val="11"/>
      <color theme="9" tint="-0.249977111117893"/>
      <name val="Calibri"/>
      <family val="2"/>
      <scheme val="minor"/>
    </font>
    <font>
      <b/>
      <sz val="16"/>
      <color theme="1"/>
      <name val="Calibri"/>
      <family val="2"/>
      <scheme val="minor"/>
    </font>
    <font>
      <b/>
      <sz val="18"/>
      <color theme="9" tint="-0.249977111117893"/>
      <name val="Calibri"/>
      <family val="2"/>
      <scheme val="minor"/>
    </font>
    <font>
      <b/>
      <sz val="16"/>
      <color theme="1"/>
      <name val="Agency FB"/>
      <family val="2"/>
    </font>
    <font>
      <b/>
      <sz val="22"/>
      <color theme="0"/>
      <name val="Algerian"/>
      <family val="5"/>
    </font>
    <font>
      <b/>
      <sz val="18"/>
      <color theme="0"/>
      <name val="Bell MT"/>
      <family val="1"/>
    </font>
    <font>
      <b/>
      <sz val="16"/>
      <color theme="0"/>
      <name val="Agency FB"/>
      <family val="2"/>
    </font>
  </fonts>
  <fills count="5">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
      <patternFill patternType="solid">
        <fgColor theme="4" tint="-0.499984740745262"/>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rgb="FFABABAB"/>
      </bottom>
      <diagonal/>
    </border>
  </borders>
  <cellStyleXfs count="1">
    <xf numFmtId="0" fontId="0" fillId="0" borderId="0"/>
  </cellStyleXfs>
  <cellXfs count="31">
    <xf numFmtId="0" fontId="0" fillId="0" borderId="0" xfId="0"/>
    <xf numFmtId="0" fontId="0" fillId="2" borderId="1" xfId="0" applyFill="1" applyBorder="1"/>
    <xf numFmtId="0" fontId="0" fillId="2" borderId="2" xfId="0" applyFill="1" applyBorder="1"/>
    <xf numFmtId="0" fontId="0" fillId="0" borderId="4" xfId="0" applyBorder="1"/>
    <xf numFmtId="14" fontId="0" fillId="0" borderId="0" xfId="0" applyNumberFormat="1" applyBorder="1"/>
    <xf numFmtId="0" fontId="0" fillId="0" borderId="0" xfId="0" applyBorder="1"/>
    <xf numFmtId="0" fontId="0" fillId="0" borderId="6" xfId="0" applyBorder="1"/>
    <xf numFmtId="14" fontId="0" fillId="0" borderId="7" xfId="0" applyNumberFormat="1" applyBorder="1"/>
    <xf numFmtId="0" fontId="0" fillId="0" borderId="7" xfId="0" applyBorder="1"/>
    <xf numFmtId="168" fontId="0" fillId="2" borderId="2" xfId="0" applyNumberFormat="1" applyFill="1" applyBorder="1"/>
    <xf numFmtId="168" fontId="0" fillId="2" borderId="3" xfId="0" applyNumberFormat="1" applyFill="1" applyBorder="1"/>
    <xf numFmtId="168" fontId="0" fillId="0" borderId="0" xfId="0" applyNumberFormat="1" applyBorder="1"/>
    <xf numFmtId="168" fontId="0" fillId="0" borderId="5" xfId="0" applyNumberFormat="1" applyBorder="1"/>
    <xf numFmtId="168" fontId="0" fillId="0" borderId="7" xfId="0" applyNumberFormat="1" applyBorder="1"/>
    <xf numFmtId="168" fontId="0" fillId="0" borderId="8" xfId="0" applyNumberFormat="1" applyBorder="1"/>
    <xf numFmtId="168" fontId="0" fillId="0" borderId="0" xfId="0" applyNumberFormat="1"/>
    <xf numFmtId="0" fontId="2" fillId="0" borderId="0" xfId="0" applyFont="1"/>
    <xf numFmtId="168" fontId="2" fillId="0" borderId="0" xfId="0" applyNumberFormat="1" applyFont="1"/>
    <xf numFmtId="0" fontId="0" fillId="0" borderId="0" xfId="0" pivotButton="1"/>
    <xf numFmtId="0" fontId="0" fillId="0" borderId="0" xfId="0" applyAlignment="1">
      <alignment horizontal="left"/>
    </xf>
    <xf numFmtId="0" fontId="1" fillId="0" borderId="9" xfId="0" applyFont="1" applyBorder="1" applyAlignment="1"/>
    <xf numFmtId="0" fontId="3" fillId="0" borderId="9" xfId="0" applyFont="1" applyBorder="1" applyAlignment="1">
      <alignment horizontal="center" vertical="center"/>
    </xf>
    <xf numFmtId="0" fontId="0" fillId="3" borderId="0" xfId="0" applyFill="1"/>
    <xf numFmtId="0" fontId="0" fillId="4" borderId="0" xfId="0" applyFill="1"/>
    <xf numFmtId="168" fontId="4" fillId="4" borderId="0" xfId="0" applyNumberFormat="1" applyFont="1" applyFill="1"/>
    <xf numFmtId="0" fontId="5" fillId="4" borderId="0" xfId="0" applyFont="1" applyFill="1" applyAlignment="1">
      <alignment horizontal="left"/>
    </xf>
    <xf numFmtId="0" fontId="5" fillId="4" borderId="0" xfId="0" applyFont="1" applyFill="1" applyAlignment="1"/>
    <xf numFmtId="0" fontId="6" fillId="4" borderId="0" xfId="0" applyFont="1" applyFill="1" applyAlignment="1">
      <alignment horizontal="left" vertical="center"/>
    </xf>
    <xf numFmtId="0" fontId="7" fillId="4" borderId="0" xfId="0" applyFont="1" applyFill="1"/>
    <xf numFmtId="0" fontId="8" fillId="4" borderId="0" xfId="0" applyFont="1" applyFill="1" applyAlignment="1">
      <alignment horizontal="left"/>
    </xf>
    <xf numFmtId="0" fontId="8" fillId="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[Sales_Project.xlsx]Pivot_Table_area!PivotTable1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Pivot_Table_area!$B$3</c:f>
              <c:strCache>
                <c:ptCount val="1"/>
                <c:pt idx="0">
                  <c:v>Total</c:v>
                </c:pt>
              </c:strCache>
            </c:strRef>
          </c:tx>
          <c:spPr>
            <a:solidFill>
              <a:schemeClr val="accent1"/>
            </a:solidFill>
            <a:ln>
              <a:noFill/>
            </a:ln>
            <a:effectLst/>
          </c:spPr>
          <c:invertIfNegative val="0"/>
          <c:cat>
            <c:strRef>
              <c:f>Pivot_Table_area!$A$4:$A$8</c:f>
              <c:strCache>
                <c:ptCount val="4"/>
                <c:pt idx="0">
                  <c:v>East</c:v>
                </c:pt>
                <c:pt idx="1">
                  <c:v>North</c:v>
                </c:pt>
                <c:pt idx="2">
                  <c:v>South</c:v>
                </c:pt>
                <c:pt idx="3">
                  <c:v>West</c:v>
                </c:pt>
              </c:strCache>
            </c:strRef>
          </c:cat>
          <c:val>
            <c:numRef>
              <c:f>Pivot_Table_area!$B$4:$B$8</c:f>
              <c:numCache>
                <c:formatCode>"₹"\ #,##0.00</c:formatCode>
                <c:ptCount val="4"/>
                <c:pt idx="0">
                  <c:v>283200</c:v>
                </c:pt>
                <c:pt idx="1">
                  <c:v>369200</c:v>
                </c:pt>
                <c:pt idx="2">
                  <c:v>328900</c:v>
                </c:pt>
                <c:pt idx="3">
                  <c:v>287900</c:v>
                </c:pt>
              </c:numCache>
            </c:numRef>
          </c:val>
          <c:extLst>
            <c:ext xmlns:c16="http://schemas.microsoft.com/office/drawing/2014/chart" uri="{C3380CC4-5D6E-409C-BE32-E72D297353CC}">
              <c16:uniqueId val="{00000000-0F20-4F3E-8739-17A7A49DC8E8}"/>
            </c:ext>
          </c:extLst>
        </c:ser>
        <c:dLbls>
          <c:showLegendKey val="0"/>
          <c:showVal val="0"/>
          <c:showCatName val="0"/>
          <c:showSerName val="0"/>
          <c:showPercent val="0"/>
          <c:showBubbleSize val="0"/>
        </c:dLbls>
        <c:gapWidth val="219"/>
        <c:overlap val="-27"/>
        <c:axId val="127138848"/>
        <c:axId val="127130688"/>
      </c:barChart>
      <c:catAx>
        <c:axId val="12713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0688"/>
        <c:crosses val="autoZero"/>
        <c:auto val="1"/>
        <c:lblAlgn val="ctr"/>
        <c:lblOffset val="100"/>
        <c:noMultiLvlLbl val="0"/>
      </c:catAx>
      <c:valAx>
        <c:axId val="127130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[Sales_Project.xlsx]Pivot_Table_area!PivotTable4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Pivot_Table_area!$B$11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Pivot_Table_area!$A$12:$A$14</c:f>
              <c:strCache>
                <c:ptCount val="2"/>
                <c:pt idx="0">
                  <c:v>Electronics</c:v>
                </c:pt>
                <c:pt idx="1">
                  <c:v>Furniture</c:v>
                </c:pt>
              </c:strCache>
            </c:strRef>
          </c:cat>
          <c:val>
            <c:numRef>
              <c:f>Pivot_Table_area!$B$12:$B$14</c:f>
              <c:numCache>
                <c:formatCode>"₹"\ #,##0.00</c:formatCode>
                <c:ptCount val="2"/>
                <c:pt idx="0">
                  <c:v>1052500</c:v>
                </c:pt>
                <c:pt idx="1">
                  <c:v>216700</c:v>
                </c:pt>
              </c:numCache>
            </c:numRef>
          </c:val>
          <c:extLst>
            <c:ext xmlns:c16="http://schemas.microsoft.com/office/drawing/2014/chart" uri="{C3380CC4-5D6E-409C-BE32-E72D297353CC}">
              <c16:uniqueId val="{00000000-B76F-4956-B7F0-CD2E67BE95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[Sales_Project.xlsx]Pivot_Table_area!PivotTable2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Pivot_Table_area!$B$17</c:f>
              <c:strCache>
                <c:ptCount val="1"/>
                <c:pt idx="0">
                  <c:v>Total</c:v>
                </c:pt>
              </c:strCache>
            </c:strRef>
          </c:tx>
          <c:spPr>
            <a:solidFill>
              <a:schemeClr val="accent1"/>
            </a:solidFill>
            <a:ln>
              <a:noFill/>
            </a:ln>
            <a:effectLst/>
          </c:spPr>
          <c:invertIfNegative val="0"/>
          <c:cat>
            <c:strRef>
              <c:f>Pivot_Table_area!$A$18:$A$23</c:f>
              <c:strCache>
                <c:ptCount val="5"/>
                <c:pt idx="0">
                  <c:v>Laptop</c:v>
                </c:pt>
                <c:pt idx="1">
                  <c:v>Phone</c:v>
                </c:pt>
                <c:pt idx="2">
                  <c:v>Printer</c:v>
                </c:pt>
                <c:pt idx="3">
                  <c:v>Table</c:v>
                </c:pt>
                <c:pt idx="4">
                  <c:v>Chair</c:v>
                </c:pt>
              </c:strCache>
            </c:strRef>
          </c:cat>
          <c:val>
            <c:numRef>
              <c:f>Pivot_Table_area!$B$18:$B$23</c:f>
              <c:numCache>
                <c:formatCode>"₹"\ #,##0.00</c:formatCode>
                <c:ptCount val="5"/>
                <c:pt idx="0">
                  <c:v>588500</c:v>
                </c:pt>
                <c:pt idx="1">
                  <c:v>300500</c:v>
                </c:pt>
                <c:pt idx="2">
                  <c:v>163500</c:v>
                </c:pt>
                <c:pt idx="3">
                  <c:v>136300</c:v>
                </c:pt>
                <c:pt idx="4">
                  <c:v>80400</c:v>
                </c:pt>
              </c:numCache>
            </c:numRef>
          </c:val>
          <c:extLst>
            <c:ext xmlns:c16="http://schemas.microsoft.com/office/drawing/2014/chart" uri="{C3380CC4-5D6E-409C-BE32-E72D297353CC}">
              <c16:uniqueId val="{00000000-1A4F-4FE8-A0D8-D4AAC01F7980}"/>
            </c:ext>
          </c:extLst>
        </c:ser>
        <c:dLbls>
          <c:showLegendKey val="0"/>
          <c:showVal val="0"/>
          <c:showCatName val="0"/>
          <c:showSerName val="0"/>
          <c:showPercent val="0"/>
          <c:showBubbleSize val="0"/>
        </c:dLbls>
        <c:gapWidth val="182"/>
        <c:axId val="190487104"/>
        <c:axId val="190486624"/>
      </c:barChart>
      <c:catAx>
        <c:axId val="19048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86624"/>
        <c:crosses val="autoZero"/>
        <c:auto val="1"/>
        <c:lblAlgn val="ctr"/>
        <c:lblOffset val="100"/>
        <c:noMultiLvlLbl val="0"/>
      </c:catAx>
      <c:valAx>
        <c:axId val="190486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8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[Sales_Project.xlsx]Pivot_Table_area!PivotTable5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Pivot_Table_area!$B$28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Pivot_Table_area!$A$29:$A$31</c:f>
              <c:strCache>
                <c:ptCount val="2"/>
                <c:pt idx="0">
                  <c:v>Jan</c:v>
                </c:pt>
                <c:pt idx="1">
                  <c:v>Feb</c:v>
                </c:pt>
              </c:strCache>
            </c:strRef>
          </c:cat>
          <c:val>
            <c:numRef>
              <c:f>Pivot_Table_area!$B$29:$B$31</c:f>
              <c:numCache>
                <c:formatCode>"₹"\ #,##0.00</c:formatCode>
                <c:ptCount val="2"/>
                <c:pt idx="0">
                  <c:v>812700</c:v>
                </c:pt>
                <c:pt idx="1">
                  <c:v>456500</c:v>
                </c:pt>
              </c:numCache>
            </c:numRef>
          </c:val>
          <c:extLst>
            <c:ext xmlns:c16="http://schemas.microsoft.com/office/drawing/2014/chart" uri="{C3380CC4-5D6E-409C-BE32-E72D297353CC}">
              <c16:uniqueId val="{00000000-9335-40B6-AB77-C119E5B0E37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[Sales_Project.xlsx]Pivot_Table_area!PivotTable1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Pivot_Table_area!$B$3</c:f>
              <c:strCache>
                <c:ptCount val="1"/>
                <c:pt idx="0">
                  <c:v>Total</c:v>
                </c:pt>
              </c:strCache>
            </c:strRef>
          </c:tx>
          <c:spPr>
            <a:solidFill>
              <a:schemeClr val="accent2"/>
            </a:solidFill>
            <a:ln>
              <a:noFill/>
            </a:ln>
            <a:effectLst/>
          </c:spPr>
          <c:invertIfNegative val="0"/>
          <c:cat>
            <c:strRef>
              <c:f>Pivot_Table_area!$A$4:$A$8</c:f>
              <c:strCache>
                <c:ptCount val="4"/>
                <c:pt idx="0">
                  <c:v>East</c:v>
                </c:pt>
                <c:pt idx="1">
                  <c:v>North</c:v>
                </c:pt>
                <c:pt idx="2">
                  <c:v>South</c:v>
                </c:pt>
                <c:pt idx="3">
                  <c:v>West</c:v>
                </c:pt>
              </c:strCache>
            </c:strRef>
          </c:cat>
          <c:val>
            <c:numRef>
              <c:f>Pivot_Table_area!$B$4:$B$8</c:f>
              <c:numCache>
                <c:formatCode>"₹"\ #,##0.00</c:formatCode>
                <c:ptCount val="4"/>
                <c:pt idx="0">
                  <c:v>283200</c:v>
                </c:pt>
                <c:pt idx="1">
                  <c:v>369200</c:v>
                </c:pt>
                <c:pt idx="2">
                  <c:v>328900</c:v>
                </c:pt>
                <c:pt idx="3">
                  <c:v>287900</c:v>
                </c:pt>
              </c:numCache>
            </c:numRef>
          </c:val>
          <c:extLst>
            <c:ext xmlns:c16="http://schemas.microsoft.com/office/drawing/2014/chart" uri="{C3380CC4-5D6E-409C-BE32-E72D297353CC}">
              <c16:uniqueId val="{00000000-4391-4C1A-8D53-7B3CB1D8618C}"/>
            </c:ext>
          </c:extLst>
        </c:ser>
        <c:dLbls>
          <c:showLegendKey val="0"/>
          <c:showVal val="0"/>
          <c:showCatName val="0"/>
          <c:showSerName val="0"/>
          <c:showPercent val="0"/>
          <c:showBubbleSize val="0"/>
        </c:dLbls>
        <c:gapWidth val="219"/>
        <c:overlap val="-27"/>
        <c:axId val="127138848"/>
        <c:axId val="127130688"/>
      </c:barChart>
      <c:catAx>
        <c:axId val="12713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0688"/>
        <c:crosses val="autoZero"/>
        <c:auto val="1"/>
        <c:lblAlgn val="ctr"/>
        <c:lblOffset val="100"/>
        <c:noMultiLvlLbl val="0"/>
      </c:catAx>
      <c:valAx>
        <c:axId val="127130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13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[Sales_Project.xlsx]Pivot_Table_area!PivotTable4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Pivot_Table_area!$B$11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8C-4B4F-8B07-09D9F3E552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8C-4B4F-8B07-09D9F3E55221}"/>
              </c:ext>
            </c:extLst>
          </c:dPt>
          <c:cat>
            <c:strRef>
              <c:f>Pivot_Table_area!$A$12:$A$14</c:f>
              <c:strCache>
                <c:ptCount val="2"/>
                <c:pt idx="0">
                  <c:v>Electronics</c:v>
                </c:pt>
                <c:pt idx="1">
                  <c:v>Furniture</c:v>
                </c:pt>
              </c:strCache>
            </c:strRef>
          </c:cat>
          <c:val>
            <c:numRef>
              <c:f>Pivot_Table_area!$B$12:$B$14</c:f>
              <c:numCache>
                <c:formatCode>"₹"\ #,##0.00</c:formatCode>
                <c:ptCount val="2"/>
                <c:pt idx="0">
                  <c:v>1052500</c:v>
                </c:pt>
                <c:pt idx="1">
                  <c:v>216700</c:v>
                </c:pt>
              </c:numCache>
            </c:numRef>
          </c:val>
          <c:extLst>
            <c:ext xmlns:c16="http://schemas.microsoft.com/office/drawing/2014/chart" uri="{C3380CC4-5D6E-409C-BE32-E72D297353CC}">
              <c16:uniqueId val="{00000004-938C-4B4F-8B07-09D9F3E552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[Sales_Project.xlsx]Pivot_Table_area!PivotTable5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Pivot_Table_area!$B$28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0D9-48AC-AE23-E8660113775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0D9-48AC-AE23-E8660113775F}"/>
              </c:ext>
            </c:extLst>
          </c:dPt>
          <c:cat>
            <c:strRef>
              <c:f>Pivot_Table_area!$A$29:$A$31</c:f>
              <c:strCache>
                <c:ptCount val="2"/>
                <c:pt idx="0">
                  <c:v>Jan</c:v>
                </c:pt>
                <c:pt idx="1">
                  <c:v>Feb</c:v>
                </c:pt>
              </c:strCache>
            </c:strRef>
          </c:cat>
          <c:val>
            <c:numRef>
              <c:f>Pivot_Table_area!$B$29:$B$31</c:f>
              <c:numCache>
                <c:formatCode>"₹"\ #,##0.00</c:formatCode>
                <c:ptCount val="2"/>
                <c:pt idx="0">
                  <c:v>812700</c:v>
                </c:pt>
                <c:pt idx="1">
                  <c:v>456500</c:v>
                </c:pt>
              </c:numCache>
            </c:numRef>
          </c:val>
          <c:extLst>
            <c:ext xmlns:c16="http://schemas.microsoft.com/office/drawing/2014/chart" uri="{C3380CC4-5D6E-409C-BE32-E72D297353CC}">
              <c16:uniqueId val="{00000004-10D9-48AC-AE23-E8660113775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[Sales_Project.xlsx]Pivot_Table_area!PivotTable2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Pivot_Table_area!$B$17</c:f>
              <c:strCache>
                <c:ptCount val="1"/>
                <c:pt idx="0">
                  <c:v>Total</c:v>
                </c:pt>
              </c:strCache>
            </c:strRef>
          </c:tx>
          <c:spPr>
            <a:solidFill>
              <a:schemeClr val="accent1"/>
            </a:solidFill>
            <a:ln>
              <a:noFill/>
            </a:ln>
            <a:effectLst/>
          </c:spPr>
          <c:invertIfNegative val="0"/>
          <c:cat>
            <c:strRef>
              <c:f>Pivot_Table_area!$A$18:$A$23</c:f>
              <c:strCache>
                <c:ptCount val="5"/>
                <c:pt idx="0">
                  <c:v>Laptop</c:v>
                </c:pt>
                <c:pt idx="1">
                  <c:v>Phone</c:v>
                </c:pt>
                <c:pt idx="2">
                  <c:v>Printer</c:v>
                </c:pt>
                <c:pt idx="3">
                  <c:v>Table</c:v>
                </c:pt>
                <c:pt idx="4">
                  <c:v>Chair</c:v>
                </c:pt>
              </c:strCache>
            </c:strRef>
          </c:cat>
          <c:val>
            <c:numRef>
              <c:f>Pivot_Table_area!$B$18:$B$23</c:f>
              <c:numCache>
                <c:formatCode>"₹"\ #,##0.00</c:formatCode>
                <c:ptCount val="5"/>
                <c:pt idx="0">
                  <c:v>588500</c:v>
                </c:pt>
                <c:pt idx="1">
                  <c:v>300500</c:v>
                </c:pt>
                <c:pt idx="2">
                  <c:v>163500</c:v>
                </c:pt>
                <c:pt idx="3">
                  <c:v>136300</c:v>
                </c:pt>
                <c:pt idx="4">
                  <c:v>80400</c:v>
                </c:pt>
              </c:numCache>
            </c:numRef>
          </c:val>
          <c:extLst>
            <c:ext xmlns:c16="http://schemas.microsoft.com/office/drawing/2014/chart" uri="{C3380CC4-5D6E-409C-BE32-E72D297353CC}">
              <c16:uniqueId val="{00000000-F486-467F-963B-E9FFE685DAD3}"/>
            </c:ext>
          </c:extLst>
        </c:ser>
        <c:dLbls>
          <c:showLegendKey val="0"/>
          <c:showVal val="0"/>
          <c:showCatName val="0"/>
          <c:showSerName val="0"/>
          <c:showPercent val="0"/>
          <c:showBubbleSize val="0"/>
        </c:dLbls>
        <c:gapWidth val="182"/>
        <c:axId val="190487104"/>
        <c:axId val="190486624"/>
      </c:barChart>
      <c:catAx>
        <c:axId val="19048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86624"/>
        <c:crosses val="autoZero"/>
        <c:auto val="1"/>
        <c:lblAlgn val="ctr"/>
        <c:lblOffset val="100"/>
        <c:noMultiLvlLbl val="0"/>
      </c:catAx>
      <c:valAx>
        <c:axId val="190486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8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152400</xdr:colOff>
      <xdr:row>2</xdr:row>
      <xdr:rowOff>16042</xdr:rowOff>
    </xdr:from>
    <xdr:to>
      <xdr:col>8</xdr:col>
      <xdr:colOff>16043</xdr:colOff>
      <xdr:row>14</xdr:row>
      <xdr:rowOff>40105</xdr:rowOff>
    </xdr:to>
    <xdr:graphicFrame macro="">
      <xdr:nvGraphicFramePr>
        <xdr:cNvPr id="2" name="Chart 1">
          <a:extLst>
            <a:ext uri="{FF2B5EF4-FFF2-40B4-BE49-F238E27FC236}">
              <a16:creationId xmlns:a16="http://schemas.microsoft.com/office/drawing/2014/main" id="{46C9728E-C07A-0ACC-D628-C72F1D75E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72189</xdr:colOff>
      <xdr:row>2</xdr:row>
      <xdr:rowOff>16042</xdr:rowOff>
    </xdr:from>
    <xdr:to>
      <xdr:col>13</xdr:col>
      <xdr:colOff>128337</xdr:colOff>
      <xdr:row>14</xdr:row>
      <xdr:rowOff>40105</xdr:rowOff>
    </xdr:to>
    <xdr:graphicFrame macro="">
      <xdr:nvGraphicFramePr>
        <xdr:cNvPr id="3" name="Chart 2">
          <a:extLst>
            <a:ext uri="{FF2B5EF4-FFF2-40B4-BE49-F238E27FC236}">
              <a16:creationId xmlns:a16="http://schemas.microsoft.com/office/drawing/2014/main" id="{D1F806D5-5A88-62A1-5E64-7BBAA7DFB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160420</xdr:colOff>
      <xdr:row>14</xdr:row>
      <xdr:rowOff>144379</xdr:rowOff>
    </xdr:from>
    <xdr:to>
      <xdr:col>8</xdr:col>
      <xdr:colOff>8021</xdr:colOff>
      <xdr:row>26</xdr:row>
      <xdr:rowOff>48126</xdr:rowOff>
    </xdr:to>
    <xdr:graphicFrame macro="">
      <xdr:nvGraphicFramePr>
        <xdr:cNvPr id="4" name="Chart 3">
          <a:extLst>
            <a:ext uri="{FF2B5EF4-FFF2-40B4-BE49-F238E27FC236}">
              <a16:creationId xmlns:a16="http://schemas.microsoft.com/office/drawing/2014/main" id="{8BECC296-A5EB-BAF8-5204-882D97EBE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80211</xdr:colOff>
      <xdr:row>14</xdr:row>
      <xdr:rowOff>160422</xdr:rowOff>
    </xdr:from>
    <xdr:to>
      <xdr:col>13</xdr:col>
      <xdr:colOff>465221</xdr:colOff>
      <xdr:row>26</xdr:row>
      <xdr:rowOff>48127</xdr:rowOff>
    </xdr:to>
    <xdr:graphicFrame macro="">
      <xdr:nvGraphicFramePr>
        <xdr:cNvPr id="5" name="Chart 4">
          <a:extLst>
            <a:ext uri="{FF2B5EF4-FFF2-40B4-BE49-F238E27FC236}">
              <a16:creationId xmlns:a16="http://schemas.microsoft.com/office/drawing/2014/main" id="{CED5F46C-27DB-C1F2-44A5-481998EBE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355369</xdr:colOff>
      <xdr:row>6</xdr:row>
      <xdr:rowOff>178493</xdr:rowOff>
    </xdr:from>
    <xdr:to>
      <xdr:col>17</xdr:col>
      <xdr:colOff>348442</xdr:colOff>
      <xdr:row>14</xdr:row>
      <xdr:rowOff>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34B75FDB-AF43-9BF5-B2D3-780666AF48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180551" y="1367675"/>
              <a:ext cx="1828800" cy="1380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3</xdr:col>
      <xdr:colOff>477630</xdr:colOff>
      <xdr:row>20</xdr:row>
      <xdr:rowOff>127048</xdr:rowOff>
    </xdr:to>
    <xdr:graphicFrame macro="">
      <xdr:nvGraphicFramePr>
        <xdr:cNvPr id="2" name="Chart 1">
          <a:extLst>
            <a:ext uri="{FF2B5EF4-FFF2-40B4-BE49-F238E27FC236}">
              <a16:creationId xmlns:a16="http://schemas.microsoft.com/office/drawing/2014/main" id="{3C43152E-2635-4505-BD7D-3E3A69EAA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7</xdr:row>
      <xdr:rowOff>175260</xdr:rowOff>
    </xdr:from>
    <xdr:to>
      <xdr:col>9</xdr:col>
      <xdr:colOff>342014</xdr:colOff>
      <xdr:row>20</xdr:row>
      <xdr:rowOff>119428</xdr:rowOff>
    </xdr:to>
    <xdr:graphicFrame macro="">
      <xdr:nvGraphicFramePr>
        <xdr:cNvPr id="3" name="Chart 2">
          <a:extLst>
            <a:ext uri="{FF2B5EF4-FFF2-40B4-BE49-F238E27FC236}">
              <a16:creationId xmlns:a16="http://schemas.microsoft.com/office/drawing/2014/main" id="{7B8AE29B-AD02-4906-9A7A-02EFA1291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0</xdr:rowOff>
    </xdr:from>
    <xdr:to>
      <xdr:col>3</xdr:col>
      <xdr:colOff>190816</xdr:colOff>
      <xdr:row>36</xdr:row>
      <xdr:rowOff>173571</xdr:rowOff>
    </xdr:to>
    <xdr:graphicFrame macro="">
      <xdr:nvGraphicFramePr>
        <xdr:cNvPr id="4" name="Chart 3">
          <a:extLst>
            <a:ext uri="{FF2B5EF4-FFF2-40B4-BE49-F238E27FC236}">
              <a16:creationId xmlns:a16="http://schemas.microsoft.com/office/drawing/2014/main" id="{60C16660-E404-434A-AF85-208B4A836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281940</xdr:colOff>
      <xdr:row>25</xdr:row>
      <xdr:rowOff>0</xdr:rowOff>
    </xdr:from>
    <xdr:to>
      <xdr:col>9</xdr:col>
      <xdr:colOff>495300</xdr:colOff>
      <xdr:row>36</xdr:row>
      <xdr:rowOff>129539</xdr:rowOff>
    </xdr:to>
    <xdr:graphicFrame macro="">
      <xdr:nvGraphicFramePr>
        <xdr:cNvPr id="5" name="Chart 4">
          <a:extLst>
            <a:ext uri="{FF2B5EF4-FFF2-40B4-BE49-F238E27FC236}">
              <a16:creationId xmlns:a16="http://schemas.microsoft.com/office/drawing/2014/main" id="{59AF8B0C-C5C3-442E-9B51-17C3DDA61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91440</xdr:colOff>
      <xdr:row>7</xdr:row>
      <xdr:rowOff>83821</xdr:rowOff>
    </xdr:from>
    <xdr:to>
      <xdr:col>13</xdr:col>
      <xdr:colOff>91439</xdr:colOff>
      <xdr:row>15</xdr:row>
      <xdr:rowOff>15241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A7324981-DE1A-F264-5911-82A0987BFB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30789" y="1938327"/>
              <a:ext cx="1817783" cy="1400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99060</xdr:colOff>
      <xdr:row>15</xdr:row>
      <xdr:rowOff>76201</xdr:rowOff>
    </xdr:from>
    <xdr:to>
      <xdr:col>13</xdr:col>
      <xdr:colOff>99059</xdr:colOff>
      <xdr:row>20</xdr:row>
      <xdr:rowOff>15241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D6E33760-33D2-5121-9D26-3F306141F85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838409" y="3399623"/>
              <a:ext cx="1817783" cy="857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xdr:colOff>
      <xdr:row>20</xdr:row>
      <xdr:rowOff>129541</xdr:rowOff>
    </xdr:from>
    <xdr:to>
      <xdr:col>13</xdr:col>
      <xdr:colOff>91439</xdr:colOff>
      <xdr:row>24</xdr:row>
      <xdr:rowOff>135601</xdr:rowOff>
    </xdr:to>
    <mc:AlternateContent xmlns:mc="http://schemas.openxmlformats.org/markup-compatibility/2006">
      <mc:Choice xmlns:a14="http://schemas.microsoft.com/office/drawing/2010/main" Requires="a14">
        <xdr:graphicFrame macro="">
          <xdr:nvGraphicFramePr>
            <xdr:cNvPr id="8" name="Months (Date)">
              <a:extLst>
                <a:ext uri="{FF2B5EF4-FFF2-40B4-BE49-F238E27FC236}">
                  <a16:creationId xmlns:a16="http://schemas.microsoft.com/office/drawing/2014/main" id="{38565606-9284-5E5B-9546-05456A6A522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7830789" y="4371035"/>
              <a:ext cx="1817783" cy="832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99060</xdr:colOff>
      <xdr:row>25</xdr:row>
      <xdr:rowOff>68581</xdr:rowOff>
    </xdr:from>
    <xdr:to>
      <xdr:col>13</xdr:col>
      <xdr:colOff>99059</xdr:colOff>
      <xdr:row>34</xdr:row>
      <xdr:rowOff>60960</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1E5D76BD-4507-5641-6654-C3658F00D71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838409" y="5319954"/>
              <a:ext cx="1817783" cy="1644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kumar Velpula" refreshedDate="46085.516674421298" createdVersion="8" refreshedVersion="8" minRefreshableVersion="3" recordCount="50" xr:uid="{BD095556-0570-412F-AEF2-CBF219621E99}">
  <cacheSource type="worksheet">
    <worksheetSource ref="A1:G51" sheet="cleaned_data"/>
  </cacheSource>
  <cacheFields count="9">
    <cacheField name="Order_ID" numFmtId="0">
      <sharedItems containsSemiMixedTypes="0" containsString="0" containsNumber="1" containsInteger="1" minValue="1001" maxValue="1050"/>
    </cacheField>
    <cacheField name="Date" numFmtId="14">
      <sharedItems containsSemiMixedTypes="0" containsNonDate="0" containsDate="1" containsString="0" minDate="2024-01-01T00:00:00" maxDate="2024-02-20T00:00:00" count="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sharedItems>
      <fieldGroup par="8"/>
    </cacheField>
    <cacheField name="Region" numFmtId="0">
      <sharedItems count="4">
        <s v="South"/>
        <s v="North"/>
        <s v="East"/>
        <s v="West"/>
      </sharedItems>
    </cacheField>
    <cacheField name="Product" numFmtId="0">
      <sharedItems count="5">
        <s v="Laptop"/>
        <s v="Phone"/>
        <s v="Chair"/>
        <s v="Table"/>
        <s v="Printer"/>
      </sharedItems>
    </cacheField>
    <cacheField name="Category" numFmtId="0">
      <sharedItems count="2">
        <s v="Electronics"/>
        <s v="Furniture"/>
      </sharedItems>
    </cacheField>
    <cacheField name="Sales" numFmtId="168">
      <sharedItems containsSemiMixedTypes="0" containsString="0" containsNumber="1" containsInteger="1" minValue="7500" maxValue="63000" count="46">
        <n v="55000"/>
        <n v="30000"/>
        <n v="8000"/>
        <n v="12000"/>
        <n v="15000"/>
        <n v="60000"/>
        <n v="28000"/>
        <n v="7500"/>
        <n v="13500"/>
        <n v="17000"/>
        <n v="58000"/>
        <n v="32000"/>
        <n v="8200"/>
        <n v="14000"/>
        <n v="15500"/>
        <n v="62000"/>
        <n v="29500"/>
        <n v="7800"/>
        <n v="12500"/>
        <n v="16500"/>
        <n v="54000"/>
        <n v="31000"/>
        <n v="8300"/>
        <n v="16000"/>
        <n v="61000"/>
        <n v="27500"/>
        <n v="7900"/>
        <n v="13800"/>
        <n v="17200"/>
        <n v="59000"/>
        <n v="33000"/>
        <n v="8100"/>
        <n v="14500"/>
        <n v="15800"/>
        <n v="63000"/>
        <n v="13200"/>
        <n v="16800"/>
        <n v="56000"/>
        <n v="30500"/>
        <n v="8400"/>
        <n v="14200"/>
        <n v="16200"/>
        <n v="60500"/>
        <n v="29000"/>
        <n v="13600"/>
        <n v="17500"/>
      </sharedItems>
    </cacheField>
    <cacheField name="Profit" numFmtId="168">
      <sharedItems containsSemiMixedTypes="0" containsString="0" containsNumber="1" containsInteger="1" minValue="1100" maxValue="9500"/>
    </cacheField>
    <cacheField name="Days (Date)" numFmtId="0" databaseField="0">
      <fieldGroup base="1">
        <rangePr groupBy="days" startDate="2024-01-01T00:00:00" endDate="2024-02-2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02-2024"/>
        </groupItems>
      </fieldGroup>
    </cacheField>
    <cacheField name="Months (Date)" numFmtId="0" databaseField="0">
      <fieldGroup base="1">
        <rangePr groupBy="months" startDate="2024-01-01T00:00:00" endDate="2024-02-20T00:00:00"/>
        <groupItems count="14">
          <s v="&lt;01-01-2024"/>
          <s v="Jan"/>
          <s v="Feb"/>
          <s v="Mar"/>
          <s v="Apr"/>
          <s v="May"/>
          <s v="Jun"/>
          <s v="Jul"/>
          <s v="Aug"/>
          <s v="Sep"/>
          <s v="Oct"/>
          <s v="Nov"/>
          <s v="Dec"/>
          <s v="&gt;20-02-2024"/>
        </groupItems>
      </fieldGroup>
    </cacheField>
  </cacheFields>
  <extLst>
    <ext xmlns:x14="http://schemas.microsoft.com/office/spreadsheetml/2009/9/main" uri="{725AE2AE-9491-48be-B2B4-4EB974FC3084}">
      <x14:pivotCacheDefinition pivotCacheId="724826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x v="0"/>
    <x v="0"/>
    <x v="0"/>
    <x v="0"/>
    <x v="0"/>
    <n v="8000"/>
  </r>
  <r>
    <n v="1002"/>
    <x v="1"/>
    <x v="1"/>
    <x v="1"/>
    <x v="0"/>
    <x v="1"/>
    <n v="5000"/>
  </r>
  <r>
    <n v="1003"/>
    <x v="2"/>
    <x v="2"/>
    <x v="2"/>
    <x v="1"/>
    <x v="2"/>
    <n v="1200"/>
  </r>
  <r>
    <n v="1004"/>
    <x v="3"/>
    <x v="3"/>
    <x v="3"/>
    <x v="1"/>
    <x v="3"/>
    <n v="2000"/>
  </r>
  <r>
    <n v="1005"/>
    <x v="4"/>
    <x v="0"/>
    <x v="4"/>
    <x v="0"/>
    <x v="4"/>
    <n v="2500"/>
  </r>
  <r>
    <n v="1006"/>
    <x v="5"/>
    <x v="1"/>
    <x v="0"/>
    <x v="0"/>
    <x v="5"/>
    <n v="9000"/>
  </r>
  <r>
    <n v="1007"/>
    <x v="6"/>
    <x v="2"/>
    <x v="1"/>
    <x v="0"/>
    <x v="6"/>
    <n v="4200"/>
  </r>
  <r>
    <n v="1008"/>
    <x v="7"/>
    <x v="3"/>
    <x v="2"/>
    <x v="1"/>
    <x v="7"/>
    <n v="1100"/>
  </r>
  <r>
    <n v="1009"/>
    <x v="8"/>
    <x v="0"/>
    <x v="3"/>
    <x v="1"/>
    <x v="8"/>
    <n v="2200"/>
  </r>
  <r>
    <n v="1010"/>
    <x v="9"/>
    <x v="1"/>
    <x v="4"/>
    <x v="0"/>
    <x v="9"/>
    <n v="2600"/>
  </r>
  <r>
    <n v="1011"/>
    <x v="10"/>
    <x v="2"/>
    <x v="0"/>
    <x v="0"/>
    <x v="10"/>
    <n v="8500"/>
  </r>
  <r>
    <n v="1012"/>
    <x v="11"/>
    <x v="3"/>
    <x v="1"/>
    <x v="0"/>
    <x v="11"/>
    <n v="4800"/>
  </r>
  <r>
    <n v="1013"/>
    <x v="12"/>
    <x v="0"/>
    <x v="2"/>
    <x v="1"/>
    <x v="12"/>
    <n v="1300"/>
  </r>
  <r>
    <n v="1014"/>
    <x v="13"/>
    <x v="1"/>
    <x v="3"/>
    <x v="1"/>
    <x v="13"/>
    <n v="2400"/>
  </r>
  <r>
    <n v="1015"/>
    <x v="14"/>
    <x v="2"/>
    <x v="4"/>
    <x v="0"/>
    <x v="14"/>
    <n v="2500"/>
  </r>
  <r>
    <n v="1016"/>
    <x v="15"/>
    <x v="3"/>
    <x v="0"/>
    <x v="0"/>
    <x v="15"/>
    <n v="9200"/>
  </r>
  <r>
    <n v="1017"/>
    <x v="16"/>
    <x v="0"/>
    <x v="1"/>
    <x v="0"/>
    <x v="16"/>
    <n v="4300"/>
  </r>
  <r>
    <n v="1018"/>
    <x v="17"/>
    <x v="1"/>
    <x v="2"/>
    <x v="1"/>
    <x v="17"/>
    <n v="1200"/>
  </r>
  <r>
    <n v="1019"/>
    <x v="18"/>
    <x v="2"/>
    <x v="3"/>
    <x v="1"/>
    <x v="18"/>
    <n v="2100"/>
  </r>
  <r>
    <n v="1020"/>
    <x v="19"/>
    <x v="3"/>
    <x v="4"/>
    <x v="0"/>
    <x v="19"/>
    <n v="2700"/>
  </r>
  <r>
    <n v="1021"/>
    <x v="20"/>
    <x v="0"/>
    <x v="0"/>
    <x v="0"/>
    <x v="20"/>
    <n v="7800"/>
  </r>
  <r>
    <n v="1022"/>
    <x v="21"/>
    <x v="1"/>
    <x v="1"/>
    <x v="0"/>
    <x v="21"/>
    <n v="4600"/>
  </r>
  <r>
    <n v="1023"/>
    <x v="22"/>
    <x v="2"/>
    <x v="2"/>
    <x v="1"/>
    <x v="22"/>
    <n v="1250"/>
  </r>
  <r>
    <n v="1024"/>
    <x v="23"/>
    <x v="3"/>
    <x v="3"/>
    <x v="1"/>
    <x v="4"/>
    <n v="2500"/>
  </r>
  <r>
    <n v="1025"/>
    <x v="24"/>
    <x v="0"/>
    <x v="4"/>
    <x v="0"/>
    <x v="23"/>
    <n v="2600"/>
  </r>
  <r>
    <n v="1026"/>
    <x v="25"/>
    <x v="1"/>
    <x v="0"/>
    <x v="0"/>
    <x v="24"/>
    <n v="9100"/>
  </r>
  <r>
    <n v="1027"/>
    <x v="26"/>
    <x v="2"/>
    <x v="1"/>
    <x v="0"/>
    <x v="25"/>
    <n v="4100"/>
  </r>
  <r>
    <n v="1028"/>
    <x v="27"/>
    <x v="3"/>
    <x v="2"/>
    <x v="1"/>
    <x v="26"/>
    <n v="1150"/>
  </r>
  <r>
    <n v="1029"/>
    <x v="28"/>
    <x v="0"/>
    <x v="3"/>
    <x v="1"/>
    <x v="27"/>
    <n v="2250"/>
  </r>
  <r>
    <n v="1030"/>
    <x v="29"/>
    <x v="1"/>
    <x v="4"/>
    <x v="0"/>
    <x v="28"/>
    <n v="2650"/>
  </r>
  <r>
    <n v="1031"/>
    <x v="30"/>
    <x v="2"/>
    <x v="0"/>
    <x v="0"/>
    <x v="29"/>
    <n v="8600"/>
  </r>
  <r>
    <n v="1032"/>
    <x v="31"/>
    <x v="3"/>
    <x v="1"/>
    <x v="0"/>
    <x v="30"/>
    <n v="4900"/>
  </r>
  <r>
    <n v="1033"/>
    <x v="32"/>
    <x v="0"/>
    <x v="2"/>
    <x v="1"/>
    <x v="31"/>
    <n v="1200"/>
  </r>
  <r>
    <n v="1034"/>
    <x v="33"/>
    <x v="1"/>
    <x v="3"/>
    <x v="1"/>
    <x v="32"/>
    <n v="2300"/>
  </r>
  <r>
    <n v="1035"/>
    <x v="34"/>
    <x v="2"/>
    <x v="4"/>
    <x v="0"/>
    <x v="33"/>
    <n v="2550"/>
  </r>
  <r>
    <n v="1036"/>
    <x v="35"/>
    <x v="3"/>
    <x v="0"/>
    <x v="0"/>
    <x v="34"/>
    <n v="9500"/>
  </r>
  <r>
    <n v="1037"/>
    <x v="36"/>
    <x v="0"/>
    <x v="1"/>
    <x v="0"/>
    <x v="1"/>
    <n v="4400"/>
  </r>
  <r>
    <n v="1038"/>
    <x v="37"/>
    <x v="1"/>
    <x v="2"/>
    <x v="1"/>
    <x v="12"/>
    <n v="1300"/>
  </r>
  <r>
    <n v="1039"/>
    <x v="38"/>
    <x v="2"/>
    <x v="3"/>
    <x v="1"/>
    <x v="35"/>
    <n v="2150"/>
  </r>
  <r>
    <n v="1040"/>
    <x v="39"/>
    <x v="3"/>
    <x v="4"/>
    <x v="0"/>
    <x v="36"/>
    <n v="2750"/>
  </r>
  <r>
    <n v="1041"/>
    <x v="40"/>
    <x v="0"/>
    <x v="0"/>
    <x v="0"/>
    <x v="37"/>
    <n v="8000"/>
  </r>
  <r>
    <n v="1042"/>
    <x v="41"/>
    <x v="1"/>
    <x v="1"/>
    <x v="0"/>
    <x v="38"/>
    <n v="4500"/>
  </r>
  <r>
    <n v="1043"/>
    <x v="42"/>
    <x v="2"/>
    <x v="2"/>
    <x v="1"/>
    <x v="39"/>
    <n v="1350"/>
  </r>
  <r>
    <n v="1044"/>
    <x v="43"/>
    <x v="3"/>
    <x v="3"/>
    <x v="1"/>
    <x v="40"/>
    <n v="2350"/>
  </r>
  <r>
    <n v="1045"/>
    <x v="44"/>
    <x v="0"/>
    <x v="4"/>
    <x v="0"/>
    <x v="41"/>
    <n v="2600"/>
  </r>
  <r>
    <n v="1046"/>
    <x v="45"/>
    <x v="1"/>
    <x v="0"/>
    <x v="0"/>
    <x v="42"/>
    <n v="9050"/>
  </r>
  <r>
    <n v="1047"/>
    <x v="46"/>
    <x v="2"/>
    <x v="1"/>
    <x v="0"/>
    <x v="43"/>
    <n v="4200"/>
  </r>
  <r>
    <n v="1048"/>
    <x v="47"/>
    <x v="3"/>
    <x v="2"/>
    <x v="1"/>
    <x v="2"/>
    <n v="1200"/>
  </r>
  <r>
    <n v="1049"/>
    <x v="48"/>
    <x v="0"/>
    <x v="3"/>
    <x v="1"/>
    <x v="44"/>
    <n v="2200"/>
  </r>
  <r>
    <n v="1050"/>
    <x v="49"/>
    <x v="1"/>
    <x v="4"/>
    <x v="0"/>
    <x v="45"/>
    <n v="2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B4E668-DE99-4611-843D-265C07AA80C8}"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location ref="A28:B31"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2"/>
        <item x="1"/>
        <item x="0"/>
        <item x="3"/>
        <item t="default"/>
      </items>
    </pivotField>
    <pivotField showAll="0">
      <items count="6">
        <item x="2"/>
        <item x="0"/>
        <item x="1"/>
        <item x="4"/>
        <item x="3"/>
        <item t="default"/>
      </items>
    </pivotField>
    <pivotField showAll="0">
      <items count="3">
        <item x="0"/>
        <item x="1"/>
        <item t="default"/>
      </items>
    </pivotField>
    <pivotField dataField="1" numFmtId="168" showAll="0"/>
    <pivotField numFmtId="168" showAll="0"/>
    <pivotField showAll="0" sumSubtotal="1">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sum"/>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3">
    <i>
      <x v="1"/>
    </i>
    <i>
      <x v="2"/>
    </i>
    <i t="grand">
      <x/>
    </i>
  </rowItems>
  <colItems count="1">
    <i/>
  </colItems>
  <dataFields count="1">
    <dataField name="Sum of Sales" fld="5" baseField="0" baseItem="0" numFmtId="168"/>
  </dataFields>
  <chartFormats count="4">
    <chartFormat chart="13"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8" count="1" selected="0">
            <x v="1"/>
          </reference>
        </references>
      </pivotArea>
    </chartFormat>
    <chartFormat chart="15"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EA3CEF-E745-42A7-AAED-0E90F892074E}"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1:B14"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2"/>
        <item x="1"/>
        <item x="0"/>
        <item x="3"/>
        <item t="default"/>
      </items>
    </pivotField>
    <pivotField showAll="0">
      <items count="6">
        <item x="2"/>
        <item x="0"/>
        <item x="1"/>
        <item x="4"/>
        <item x="3"/>
        <item t="default"/>
      </items>
    </pivotField>
    <pivotField axis="axisRow" showAll="0">
      <items count="3">
        <item x="0"/>
        <item x="1"/>
        <item t="default"/>
      </items>
    </pivotField>
    <pivotField dataField="1" numFmtId="168" showAll="0"/>
    <pivotField numFmtId="16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Sales" fld="5" baseField="0" baseItem="0" numFmtId="168"/>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886F5B-C72C-4BBA-8BB9-96451A2586A8}"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ocation ref="A17:B23"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2"/>
        <item x="1"/>
        <item x="0"/>
        <item x="3"/>
        <item t="default"/>
      </items>
    </pivotField>
    <pivotField axis="axisRow" showAll="0" sortType="de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numFmtId="168" showAll="0"/>
    <pivotField numFmtId="16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
    </i>
    <i>
      <x v="2"/>
    </i>
    <i>
      <x v="3"/>
    </i>
    <i>
      <x v="4"/>
    </i>
    <i>
      <x/>
    </i>
    <i t="grand">
      <x/>
    </i>
  </rowItems>
  <colItems count="1">
    <i/>
  </colItems>
  <dataFields count="1">
    <dataField name="Sum of Sales" fld="5" baseField="0" baseItem="0" numFmtId="168"/>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8D4360-3451-4A4B-8A3E-0B409AB68FB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A3:B8"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2"/>
        <item x="1"/>
        <item x="0"/>
        <item x="3"/>
        <item t="default"/>
      </items>
    </pivotField>
    <pivotField showAll="0">
      <items count="6">
        <item x="2"/>
        <item x="0"/>
        <item x="1"/>
        <item x="4"/>
        <item x="3"/>
        <item t="default"/>
      </items>
    </pivotField>
    <pivotField showAll="0">
      <items count="3">
        <item x="0"/>
        <item x="1"/>
        <item t="default"/>
      </items>
    </pivotField>
    <pivotField dataField="1" numFmtId="168" showAll="0">
      <items count="47">
        <item x="7"/>
        <item x="17"/>
        <item x="26"/>
        <item x="2"/>
        <item x="31"/>
        <item x="12"/>
        <item x="22"/>
        <item x="39"/>
        <item x="3"/>
        <item x="18"/>
        <item x="35"/>
        <item x="8"/>
        <item x="44"/>
        <item x="27"/>
        <item x="13"/>
        <item x="40"/>
        <item x="32"/>
        <item x="4"/>
        <item x="14"/>
        <item x="33"/>
        <item x="23"/>
        <item x="41"/>
        <item x="19"/>
        <item x="36"/>
        <item x="9"/>
        <item x="28"/>
        <item x="45"/>
        <item x="25"/>
        <item x="6"/>
        <item x="43"/>
        <item x="16"/>
        <item x="1"/>
        <item x="38"/>
        <item x="21"/>
        <item x="11"/>
        <item x="30"/>
        <item x="20"/>
        <item x="0"/>
        <item x="37"/>
        <item x="10"/>
        <item x="29"/>
        <item x="5"/>
        <item x="42"/>
        <item x="24"/>
        <item x="15"/>
        <item x="34"/>
        <item t="default"/>
      </items>
    </pivotField>
    <pivotField numFmtId="168"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5" baseField="0" baseItem="0" numFmtId="168"/>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E2519A-D7B2-4F85-878C-F131068A7A06}" sourceName="Region">
  <pivotTables>
    <pivotTable tabId="4" name="PivotTable1"/>
    <pivotTable tabId="4" name="PivotTable2"/>
    <pivotTable tabId="4" name="PivotTable4"/>
    <pivotTable tabId="4" name="PivotTable5"/>
  </pivotTables>
  <data>
    <tabular pivotCacheId="72482614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632F13-4634-4F65-B2D3-09F37E18B4E5}" sourceName="Category">
  <pivotTables>
    <pivotTable tabId="4" name="PivotTable4"/>
    <pivotTable tabId="4" name="PivotTable1"/>
    <pivotTable tabId="4" name="PivotTable2"/>
    <pivotTable tabId="4" name="PivotTable5"/>
  </pivotTables>
  <data>
    <tabular pivotCacheId="72482614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1F45AC1-D8BA-410A-8363-929B0649FB56}" sourceName="Months (Date)">
  <pivotTables>
    <pivotTable tabId="4" name="PivotTable5"/>
    <pivotTable tabId="4" name="PivotTable1"/>
    <pivotTable tabId="4" name="PivotTable2"/>
    <pivotTable tabId="4" name="PivotTable4"/>
  </pivotTables>
  <data>
    <tabular pivotCacheId="724826142">
      <items count="14">
        <i x="1" s="1"/>
        <i x="2" s="1"/>
        <i x="3" s="1" nd="1"/>
        <i x="4" s="1" nd="1"/>
        <i x="5" s="1" nd="1"/>
        <i x="6" s="1" nd="1"/>
        <i x="7" s="1" nd="1"/>
        <i x="8" s="1" nd="1"/>
        <i x="9" s="1" nd="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D048728-6DE7-48EC-A83F-786E2DBFD1E5}" sourceName="Product">
  <pivotTables>
    <pivotTable tabId="4" name="PivotTable2"/>
    <pivotTable tabId="4" name="PivotTable1"/>
    <pivotTable tabId="4" name="PivotTable4"/>
    <pivotTable tabId="4" name="PivotTable5"/>
  </pivotTables>
  <data>
    <tabular pivotCacheId="724826142">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B80C829-94B6-4CFD-B7EA-A3021FDCBFBC}"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6E88D9-D2C8-4819-91AA-A487D10C28F1}" cache="Slicer_Region" caption="Region" rowHeight="234950"/>
  <slicer name="Category" xr10:uid="{D6779FE9-E139-420C-B56F-30DD51AB1B6A}" cache="Slicer_Category" caption="Category" rowHeight="234950"/>
  <slicer name="Months (Date)" xr10:uid="{AED978FA-1C52-4372-95D4-C88DEFB7E592}" cache="Slicer_Months__Date" caption="Months (Date)" rowHeight="234950"/>
  <slicer name="Product" xr10:uid="{859219AF-0DC8-41C2-96CF-9649F06226C1}"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C0A5D-3D25-468A-8F95-BDDCEF1B7CCE}">
  <dimension ref="A1:A51"/>
  <sheetViews>
    <sheetView workbookViewId="0">
      <selection activeCell="K9" sqref="K9"/>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04C1-00FE-4840-936E-C05860E60C39}">
  <dimension ref="A1:L51"/>
  <sheetViews>
    <sheetView zoomScale="103" workbookViewId="0">
      <selection activeCell="L14" sqref="L14"/>
    </sheetView>
  </sheetViews>
  <sheetFormatPr defaultRowHeight="14.4" x14ac:dyDescent="0.3"/>
  <cols>
    <col min="1" max="1" width="8.5546875" bestFit="1" customWidth="1"/>
    <col min="2" max="2" width="11.109375" bestFit="1" customWidth="1"/>
    <col min="3" max="3" width="6.5546875" bestFit="1" customWidth="1"/>
    <col min="4" max="4" width="7.33203125" bestFit="1" customWidth="1"/>
    <col min="5" max="5" width="9.88671875" bestFit="1" customWidth="1"/>
    <col min="6" max="6" width="11.21875" style="15" bestFit="1" customWidth="1"/>
    <col min="7" max="7" width="10.109375" style="15" bestFit="1" customWidth="1"/>
    <col min="10" max="10" width="9" bestFit="1" customWidth="1"/>
    <col min="11" max="11" width="10.33203125" bestFit="1" customWidth="1"/>
    <col min="12" max="12" width="13.88671875" bestFit="1" customWidth="1"/>
  </cols>
  <sheetData>
    <row r="1" spans="1:12" x14ac:dyDescent="0.3">
      <c r="A1" s="1" t="s">
        <v>51</v>
      </c>
      <c r="B1" s="2" t="s">
        <v>52</v>
      </c>
      <c r="C1" s="2" t="s">
        <v>53</v>
      </c>
      <c r="D1" s="2" t="s">
        <v>54</v>
      </c>
      <c r="E1" s="2" t="s">
        <v>55</v>
      </c>
      <c r="F1" s="9" t="s">
        <v>56</v>
      </c>
      <c r="G1" s="10" t="s">
        <v>57</v>
      </c>
    </row>
    <row r="2" spans="1:12" x14ac:dyDescent="0.3">
      <c r="A2" s="3">
        <v>1001</v>
      </c>
      <c r="B2" s="4">
        <v>45292</v>
      </c>
      <c r="C2" s="5" t="s">
        <v>58</v>
      </c>
      <c r="D2" s="5" t="s">
        <v>59</v>
      </c>
      <c r="E2" s="5" t="s">
        <v>60</v>
      </c>
      <c r="F2" s="11">
        <v>55000</v>
      </c>
      <c r="G2" s="12">
        <v>8000</v>
      </c>
      <c r="J2" s="16">
        <v>1</v>
      </c>
      <c r="K2" s="16" t="s">
        <v>69</v>
      </c>
      <c r="L2" s="17">
        <f>SUM(sales)</f>
        <v>1269200</v>
      </c>
    </row>
    <row r="3" spans="1:12" x14ac:dyDescent="0.3">
      <c r="A3" s="3">
        <v>1002</v>
      </c>
      <c r="B3" s="4">
        <v>45293</v>
      </c>
      <c r="C3" s="5" t="s">
        <v>61</v>
      </c>
      <c r="D3" s="5" t="s">
        <v>62</v>
      </c>
      <c r="E3" s="5" t="s">
        <v>60</v>
      </c>
      <c r="F3" s="11">
        <v>30000</v>
      </c>
      <c r="G3" s="12">
        <v>5000</v>
      </c>
      <c r="J3" s="16">
        <v>2</v>
      </c>
      <c r="K3" s="16" t="s">
        <v>70</v>
      </c>
      <c r="L3" s="17">
        <f>SUM(profit)</f>
        <v>192700</v>
      </c>
    </row>
    <row r="4" spans="1:12" x14ac:dyDescent="0.3">
      <c r="A4" s="3">
        <v>1003</v>
      </c>
      <c r="B4" s="4">
        <v>45294</v>
      </c>
      <c r="C4" s="5" t="s">
        <v>63</v>
      </c>
      <c r="D4" s="5" t="s">
        <v>64</v>
      </c>
      <c r="E4" s="5" t="s">
        <v>65</v>
      </c>
      <c r="F4" s="11">
        <v>8000</v>
      </c>
      <c r="G4" s="12">
        <v>1200</v>
      </c>
    </row>
    <row r="5" spans="1:12" x14ac:dyDescent="0.3">
      <c r="A5" s="3">
        <v>1004</v>
      </c>
      <c r="B5" s="4">
        <v>45295</v>
      </c>
      <c r="C5" s="5" t="s">
        <v>66</v>
      </c>
      <c r="D5" s="5" t="s">
        <v>67</v>
      </c>
      <c r="E5" s="5" t="s">
        <v>65</v>
      </c>
      <c r="F5" s="11">
        <v>12000</v>
      </c>
      <c r="G5" s="12">
        <v>2000</v>
      </c>
    </row>
    <row r="6" spans="1:12" x14ac:dyDescent="0.3">
      <c r="A6" s="3">
        <v>1005</v>
      </c>
      <c r="B6" s="4">
        <v>45296</v>
      </c>
      <c r="C6" s="5" t="s">
        <v>58</v>
      </c>
      <c r="D6" s="5" t="s">
        <v>68</v>
      </c>
      <c r="E6" s="5" t="s">
        <v>60</v>
      </c>
      <c r="F6" s="11">
        <v>15000</v>
      </c>
      <c r="G6" s="12">
        <v>2500</v>
      </c>
    </row>
    <row r="7" spans="1:12" x14ac:dyDescent="0.3">
      <c r="A7" s="3">
        <v>1006</v>
      </c>
      <c r="B7" s="4">
        <v>45297</v>
      </c>
      <c r="C7" s="5" t="s">
        <v>61</v>
      </c>
      <c r="D7" s="5" t="s">
        <v>59</v>
      </c>
      <c r="E7" s="5" t="s">
        <v>60</v>
      </c>
      <c r="F7" s="11">
        <v>60000</v>
      </c>
      <c r="G7" s="12">
        <v>9000</v>
      </c>
    </row>
    <row r="8" spans="1:12" x14ac:dyDescent="0.3">
      <c r="A8" s="3">
        <v>1007</v>
      </c>
      <c r="B8" s="4">
        <v>45298</v>
      </c>
      <c r="C8" s="5" t="s">
        <v>63</v>
      </c>
      <c r="D8" s="5" t="s">
        <v>62</v>
      </c>
      <c r="E8" s="5" t="s">
        <v>60</v>
      </c>
      <c r="F8" s="11">
        <v>28000</v>
      </c>
      <c r="G8" s="12">
        <v>4200</v>
      </c>
    </row>
    <row r="9" spans="1:12" x14ac:dyDescent="0.3">
      <c r="A9" s="3">
        <v>1008</v>
      </c>
      <c r="B9" s="4">
        <v>45299</v>
      </c>
      <c r="C9" s="5" t="s">
        <v>66</v>
      </c>
      <c r="D9" s="5" t="s">
        <v>64</v>
      </c>
      <c r="E9" s="5" t="s">
        <v>65</v>
      </c>
      <c r="F9" s="11">
        <v>7500</v>
      </c>
      <c r="G9" s="12">
        <v>1100</v>
      </c>
    </row>
    <row r="10" spans="1:12" x14ac:dyDescent="0.3">
      <c r="A10" s="3">
        <v>1009</v>
      </c>
      <c r="B10" s="4">
        <v>45300</v>
      </c>
      <c r="C10" s="5" t="s">
        <v>58</v>
      </c>
      <c r="D10" s="5" t="s">
        <v>67</v>
      </c>
      <c r="E10" s="5" t="s">
        <v>65</v>
      </c>
      <c r="F10" s="11">
        <v>13500</v>
      </c>
      <c r="G10" s="12">
        <v>2200</v>
      </c>
    </row>
    <row r="11" spans="1:12" x14ac:dyDescent="0.3">
      <c r="A11" s="3">
        <v>1010</v>
      </c>
      <c r="B11" s="4">
        <v>45301</v>
      </c>
      <c r="C11" s="5" t="s">
        <v>61</v>
      </c>
      <c r="D11" s="5" t="s">
        <v>68</v>
      </c>
      <c r="E11" s="5" t="s">
        <v>60</v>
      </c>
      <c r="F11" s="11">
        <v>17000</v>
      </c>
      <c r="G11" s="12">
        <v>2600</v>
      </c>
    </row>
    <row r="12" spans="1:12" x14ac:dyDescent="0.3">
      <c r="A12" s="3">
        <v>1011</v>
      </c>
      <c r="B12" s="4">
        <v>45302</v>
      </c>
      <c r="C12" s="5" t="s">
        <v>63</v>
      </c>
      <c r="D12" s="5" t="s">
        <v>59</v>
      </c>
      <c r="E12" s="5" t="s">
        <v>60</v>
      </c>
      <c r="F12" s="11">
        <v>58000</v>
      </c>
      <c r="G12" s="12">
        <v>8500</v>
      </c>
    </row>
    <row r="13" spans="1:12" x14ac:dyDescent="0.3">
      <c r="A13" s="3">
        <v>1012</v>
      </c>
      <c r="B13" s="4">
        <v>45303</v>
      </c>
      <c r="C13" s="5" t="s">
        <v>66</v>
      </c>
      <c r="D13" s="5" t="s">
        <v>62</v>
      </c>
      <c r="E13" s="5" t="s">
        <v>60</v>
      </c>
      <c r="F13" s="11">
        <v>32000</v>
      </c>
      <c r="G13" s="12">
        <v>4800</v>
      </c>
    </row>
    <row r="14" spans="1:12" x14ac:dyDescent="0.3">
      <c r="A14" s="3">
        <v>1013</v>
      </c>
      <c r="B14" s="4">
        <v>45304</v>
      </c>
      <c r="C14" s="5" t="s">
        <v>58</v>
      </c>
      <c r="D14" s="5" t="s">
        <v>64</v>
      </c>
      <c r="E14" s="5" t="s">
        <v>65</v>
      </c>
      <c r="F14" s="11">
        <v>8200</v>
      </c>
      <c r="G14" s="12">
        <v>1300</v>
      </c>
    </row>
    <row r="15" spans="1:12" x14ac:dyDescent="0.3">
      <c r="A15" s="3">
        <v>1014</v>
      </c>
      <c r="B15" s="4">
        <v>45305</v>
      </c>
      <c r="C15" s="5" t="s">
        <v>61</v>
      </c>
      <c r="D15" s="5" t="s">
        <v>67</v>
      </c>
      <c r="E15" s="5" t="s">
        <v>65</v>
      </c>
      <c r="F15" s="11">
        <v>14000</v>
      </c>
      <c r="G15" s="12">
        <v>2400</v>
      </c>
    </row>
    <row r="16" spans="1:12" x14ac:dyDescent="0.3">
      <c r="A16" s="3">
        <v>1015</v>
      </c>
      <c r="B16" s="4">
        <v>45306</v>
      </c>
      <c r="C16" s="5" t="s">
        <v>63</v>
      </c>
      <c r="D16" s="5" t="s">
        <v>68</v>
      </c>
      <c r="E16" s="5" t="s">
        <v>60</v>
      </c>
      <c r="F16" s="11">
        <v>15500</v>
      </c>
      <c r="G16" s="12">
        <v>2500</v>
      </c>
    </row>
    <row r="17" spans="1:7" x14ac:dyDescent="0.3">
      <c r="A17" s="3">
        <v>1016</v>
      </c>
      <c r="B17" s="4">
        <v>45307</v>
      </c>
      <c r="C17" s="5" t="s">
        <v>66</v>
      </c>
      <c r="D17" s="5" t="s">
        <v>59</v>
      </c>
      <c r="E17" s="5" t="s">
        <v>60</v>
      </c>
      <c r="F17" s="11">
        <v>62000</v>
      </c>
      <c r="G17" s="12">
        <v>9200</v>
      </c>
    </row>
    <row r="18" spans="1:7" x14ac:dyDescent="0.3">
      <c r="A18" s="3">
        <v>1017</v>
      </c>
      <c r="B18" s="4">
        <v>45308</v>
      </c>
      <c r="C18" s="5" t="s">
        <v>58</v>
      </c>
      <c r="D18" s="5" t="s">
        <v>62</v>
      </c>
      <c r="E18" s="5" t="s">
        <v>60</v>
      </c>
      <c r="F18" s="11">
        <v>29500</v>
      </c>
      <c r="G18" s="12">
        <v>4300</v>
      </c>
    </row>
    <row r="19" spans="1:7" x14ac:dyDescent="0.3">
      <c r="A19" s="3">
        <v>1018</v>
      </c>
      <c r="B19" s="4">
        <v>45309</v>
      </c>
      <c r="C19" s="5" t="s">
        <v>61</v>
      </c>
      <c r="D19" s="5" t="s">
        <v>64</v>
      </c>
      <c r="E19" s="5" t="s">
        <v>65</v>
      </c>
      <c r="F19" s="11">
        <v>7800</v>
      </c>
      <c r="G19" s="12">
        <v>1200</v>
      </c>
    </row>
    <row r="20" spans="1:7" x14ac:dyDescent="0.3">
      <c r="A20" s="3">
        <v>1019</v>
      </c>
      <c r="B20" s="4">
        <v>45310</v>
      </c>
      <c r="C20" s="5" t="s">
        <v>63</v>
      </c>
      <c r="D20" s="5" t="s">
        <v>67</v>
      </c>
      <c r="E20" s="5" t="s">
        <v>65</v>
      </c>
      <c r="F20" s="11">
        <v>12500</v>
      </c>
      <c r="G20" s="12">
        <v>2100</v>
      </c>
    </row>
    <row r="21" spans="1:7" x14ac:dyDescent="0.3">
      <c r="A21" s="3">
        <v>1020</v>
      </c>
      <c r="B21" s="4">
        <v>45311</v>
      </c>
      <c r="C21" s="5" t="s">
        <v>66</v>
      </c>
      <c r="D21" s="5" t="s">
        <v>68</v>
      </c>
      <c r="E21" s="5" t="s">
        <v>60</v>
      </c>
      <c r="F21" s="11">
        <v>16500</v>
      </c>
      <c r="G21" s="12">
        <v>2700</v>
      </c>
    </row>
    <row r="22" spans="1:7" x14ac:dyDescent="0.3">
      <c r="A22" s="3">
        <v>1021</v>
      </c>
      <c r="B22" s="4">
        <v>45312</v>
      </c>
      <c r="C22" s="5" t="s">
        <v>58</v>
      </c>
      <c r="D22" s="5" t="s">
        <v>59</v>
      </c>
      <c r="E22" s="5" t="s">
        <v>60</v>
      </c>
      <c r="F22" s="11">
        <v>54000</v>
      </c>
      <c r="G22" s="12">
        <v>7800</v>
      </c>
    </row>
    <row r="23" spans="1:7" x14ac:dyDescent="0.3">
      <c r="A23" s="3">
        <v>1022</v>
      </c>
      <c r="B23" s="4">
        <v>45313</v>
      </c>
      <c r="C23" s="5" t="s">
        <v>61</v>
      </c>
      <c r="D23" s="5" t="s">
        <v>62</v>
      </c>
      <c r="E23" s="5" t="s">
        <v>60</v>
      </c>
      <c r="F23" s="11">
        <v>31000</v>
      </c>
      <c r="G23" s="12">
        <v>4600</v>
      </c>
    </row>
    <row r="24" spans="1:7" x14ac:dyDescent="0.3">
      <c r="A24" s="3">
        <v>1023</v>
      </c>
      <c r="B24" s="4">
        <v>45314</v>
      </c>
      <c r="C24" s="5" t="s">
        <v>63</v>
      </c>
      <c r="D24" s="5" t="s">
        <v>64</v>
      </c>
      <c r="E24" s="5" t="s">
        <v>65</v>
      </c>
      <c r="F24" s="11">
        <v>8300</v>
      </c>
      <c r="G24" s="12">
        <v>1250</v>
      </c>
    </row>
    <row r="25" spans="1:7" x14ac:dyDescent="0.3">
      <c r="A25" s="3">
        <v>1024</v>
      </c>
      <c r="B25" s="4">
        <v>45315</v>
      </c>
      <c r="C25" s="5" t="s">
        <v>66</v>
      </c>
      <c r="D25" s="5" t="s">
        <v>67</v>
      </c>
      <c r="E25" s="5" t="s">
        <v>65</v>
      </c>
      <c r="F25" s="11">
        <v>15000</v>
      </c>
      <c r="G25" s="12">
        <v>2500</v>
      </c>
    </row>
    <row r="26" spans="1:7" x14ac:dyDescent="0.3">
      <c r="A26" s="3">
        <v>1025</v>
      </c>
      <c r="B26" s="4">
        <v>45316</v>
      </c>
      <c r="C26" s="5" t="s">
        <v>58</v>
      </c>
      <c r="D26" s="5" t="s">
        <v>68</v>
      </c>
      <c r="E26" s="5" t="s">
        <v>60</v>
      </c>
      <c r="F26" s="11">
        <v>16000</v>
      </c>
      <c r="G26" s="12">
        <v>2600</v>
      </c>
    </row>
    <row r="27" spans="1:7" x14ac:dyDescent="0.3">
      <c r="A27" s="3">
        <v>1026</v>
      </c>
      <c r="B27" s="4">
        <v>45317</v>
      </c>
      <c r="C27" s="5" t="s">
        <v>61</v>
      </c>
      <c r="D27" s="5" t="s">
        <v>59</v>
      </c>
      <c r="E27" s="5" t="s">
        <v>60</v>
      </c>
      <c r="F27" s="11">
        <v>61000</v>
      </c>
      <c r="G27" s="12">
        <v>9100</v>
      </c>
    </row>
    <row r="28" spans="1:7" x14ac:dyDescent="0.3">
      <c r="A28" s="3">
        <v>1027</v>
      </c>
      <c r="B28" s="4">
        <v>45318</v>
      </c>
      <c r="C28" s="5" t="s">
        <v>63</v>
      </c>
      <c r="D28" s="5" t="s">
        <v>62</v>
      </c>
      <c r="E28" s="5" t="s">
        <v>60</v>
      </c>
      <c r="F28" s="11">
        <v>27500</v>
      </c>
      <c r="G28" s="12">
        <v>4100</v>
      </c>
    </row>
    <row r="29" spans="1:7" x14ac:dyDescent="0.3">
      <c r="A29" s="3">
        <v>1028</v>
      </c>
      <c r="B29" s="4">
        <v>45319</v>
      </c>
      <c r="C29" s="5" t="s">
        <v>66</v>
      </c>
      <c r="D29" s="5" t="s">
        <v>64</v>
      </c>
      <c r="E29" s="5" t="s">
        <v>65</v>
      </c>
      <c r="F29" s="11">
        <v>7900</v>
      </c>
      <c r="G29" s="12">
        <v>1150</v>
      </c>
    </row>
    <row r="30" spans="1:7" x14ac:dyDescent="0.3">
      <c r="A30" s="3">
        <v>1029</v>
      </c>
      <c r="B30" s="4">
        <v>45320</v>
      </c>
      <c r="C30" s="5" t="s">
        <v>58</v>
      </c>
      <c r="D30" s="5" t="s">
        <v>67</v>
      </c>
      <c r="E30" s="5" t="s">
        <v>65</v>
      </c>
      <c r="F30" s="11">
        <v>13800</v>
      </c>
      <c r="G30" s="12">
        <v>2250</v>
      </c>
    </row>
    <row r="31" spans="1:7" x14ac:dyDescent="0.3">
      <c r="A31" s="3">
        <v>1030</v>
      </c>
      <c r="B31" s="4">
        <v>45321</v>
      </c>
      <c r="C31" s="5" t="s">
        <v>61</v>
      </c>
      <c r="D31" s="5" t="s">
        <v>68</v>
      </c>
      <c r="E31" s="5" t="s">
        <v>60</v>
      </c>
      <c r="F31" s="11">
        <v>17200</v>
      </c>
      <c r="G31" s="12">
        <v>2650</v>
      </c>
    </row>
    <row r="32" spans="1:7" x14ac:dyDescent="0.3">
      <c r="A32" s="3">
        <v>1031</v>
      </c>
      <c r="B32" s="4">
        <v>45322</v>
      </c>
      <c r="C32" s="5" t="s">
        <v>63</v>
      </c>
      <c r="D32" s="5" t="s">
        <v>59</v>
      </c>
      <c r="E32" s="5" t="s">
        <v>60</v>
      </c>
      <c r="F32" s="11">
        <v>59000</v>
      </c>
      <c r="G32" s="12">
        <v>8600</v>
      </c>
    </row>
    <row r="33" spans="1:7" x14ac:dyDescent="0.3">
      <c r="A33" s="3">
        <v>1032</v>
      </c>
      <c r="B33" s="4">
        <v>45323</v>
      </c>
      <c r="C33" s="5" t="s">
        <v>66</v>
      </c>
      <c r="D33" s="5" t="s">
        <v>62</v>
      </c>
      <c r="E33" s="5" t="s">
        <v>60</v>
      </c>
      <c r="F33" s="11">
        <v>33000</v>
      </c>
      <c r="G33" s="12">
        <v>4900</v>
      </c>
    </row>
    <row r="34" spans="1:7" x14ac:dyDescent="0.3">
      <c r="A34" s="3">
        <v>1033</v>
      </c>
      <c r="B34" s="4">
        <v>45324</v>
      </c>
      <c r="C34" s="5" t="s">
        <v>58</v>
      </c>
      <c r="D34" s="5" t="s">
        <v>64</v>
      </c>
      <c r="E34" s="5" t="s">
        <v>65</v>
      </c>
      <c r="F34" s="11">
        <v>8100</v>
      </c>
      <c r="G34" s="12">
        <v>1200</v>
      </c>
    </row>
    <row r="35" spans="1:7" x14ac:dyDescent="0.3">
      <c r="A35" s="3">
        <v>1034</v>
      </c>
      <c r="B35" s="4">
        <v>45325</v>
      </c>
      <c r="C35" s="5" t="s">
        <v>61</v>
      </c>
      <c r="D35" s="5" t="s">
        <v>67</v>
      </c>
      <c r="E35" s="5" t="s">
        <v>65</v>
      </c>
      <c r="F35" s="11">
        <v>14500</v>
      </c>
      <c r="G35" s="12">
        <v>2300</v>
      </c>
    </row>
    <row r="36" spans="1:7" x14ac:dyDescent="0.3">
      <c r="A36" s="3">
        <v>1035</v>
      </c>
      <c r="B36" s="4">
        <v>45326</v>
      </c>
      <c r="C36" s="5" t="s">
        <v>63</v>
      </c>
      <c r="D36" s="5" t="s">
        <v>68</v>
      </c>
      <c r="E36" s="5" t="s">
        <v>60</v>
      </c>
      <c r="F36" s="11">
        <v>15800</v>
      </c>
      <c r="G36" s="12">
        <v>2550</v>
      </c>
    </row>
    <row r="37" spans="1:7" x14ac:dyDescent="0.3">
      <c r="A37" s="3">
        <v>1036</v>
      </c>
      <c r="B37" s="4">
        <v>45327</v>
      </c>
      <c r="C37" s="5" t="s">
        <v>66</v>
      </c>
      <c r="D37" s="5" t="s">
        <v>59</v>
      </c>
      <c r="E37" s="5" t="s">
        <v>60</v>
      </c>
      <c r="F37" s="11">
        <v>63000</v>
      </c>
      <c r="G37" s="12">
        <v>9500</v>
      </c>
    </row>
    <row r="38" spans="1:7" x14ac:dyDescent="0.3">
      <c r="A38" s="3">
        <v>1037</v>
      </c>
      <c r="B38" s="4">
        <v>45328</v>
      </c>
      <c r="C38" s="5" t="s">
        <v>58</v>
      </c>
      <c r="D38" s="5" t="s">
        <v>62</v>
      </c>
      <c r="E38" s="5" t="s">
        <v>60</v>
      </c>
      <c r="F38" s="11">
        <v>30000</v>
      </c>
      <c r="G38" s="12">
        <v>4400</v>
      </c>
    </row>
    <row r="39" spans="1:7" x14ac:dyDescent="0.3">
      <c r="A39" s="3">
        <v>1038</v>
      </c>
      <c r="B39" s="4">
        <v>45329</v>
      </c>
      <c r="C39" s="5" t="s">
        <v>61</v>
      </c>
      <c r="D39" s="5" t="s">
        <v>64</v>
      </c>
      <c r="E39" s="5" t="s">
        <v>65</v>
      </c>
      <c r="F39" s="11">
        <v>8200</v>
      </c>
      <c r="G39" s="12">
        <v>1300</v>
      </c>
    </row>
    <row r="40" spans="1:7" x14ac:dyDescent="0.3">
      <c r="A40" s="3">
        <v>1039</v>
      </c>
      <c r="B40" s="4">
        <v>45330</v>
      </c>
      <c r="C40" s="5" t="s">
        <v>63</v>
      </c>
      <c r="D40" s="5" t="s">
        <v>67</v>
      </c>
      <c r="E40" s="5" t="s">
        <v>65</v>
      </c>
      <c r="F40" s="11">
        <v>13200</v>
      </c>
      <c r="G40" s="12">
        <v>2150</v>
      </c>
    </row>
    <row r="41" spans="1:7" x14ac:dyDescent="0.3">
      <c r="A41" s="3">
        <v>1040</v>
      </c>
      <c r="B41" s="4">
        <v>45331</v>
      </c>
      <c r="C41" s="5" t="s">
        <v>66</v>
      </c>
      <c r="D41" s="5" t="s">
        <v>68</v>
      </c>
      <c r="E41" s="5" t="s">
        <v>60</v>
      </c>
      <c r="F41" s="11">
        <v>16800</v>
      </c>
      <c r="G41" s="12">
        <v>2750</v>
      </c>
    </row>
    <row r="42" spans="1:7" x14ac:dyDescent="0.3">
      <c r="A42" s="3">
        <v>1041</v>
      </c>
      <c r="B42" s="4">
        <v>45332</v>
      </c>
      <c r="C42" s="5" t="s">
        <v>58</v>
      </c>
      <c r="D42" s="5" t="s">
        <v>59</v>
      </c>
      <c r="E42" s="5" t="s">
        <v>60</v>
      </c>
      <c r="F42" s="11">
        <v>56000</v>
      </c>
      <c r="G42" s="12">
        <v>8000</v>
      </c>
    </row>
    <row r="43" spans="1:7" x14ac:dyDescent="0.3">
      <c r="A43" s="3">
        <v>1042</v>
      </c>
      <c r="B43" s="4">
        <v>45333</v>
      </c>
      <c r="C43" s="5" t="s">
        <v>61</v>
      </c>
      <c r="D43" s="5" t="s">
        <v>62</v>
      </c>
      <c r="E43" s="5" t="s">
        <v>60</v>
      </c>
      <c r="F43" s="11">
        <v>30500</v>
      </c>
      <c r="G43" s="12">
        <v>4500</v>
      </c>
    </row>
    <row r="44" spans="1:7" x14ac:dyDescent="0.3">
      <c r="A44" s="3">
        <v>1043</v>
      </c>
      <c r="B44" s="4">
        <v>45334</v>
      </c>
      <c r="C44" s="5" t="s">
        <v>63</v>
      </c>
      <c r="D44" s="5" t="s">
        <v>64</v>
      </c>
      <c r="E44" s="5" t="s">
        <v>65</v>
      </c>
      <c r="F44" s="11">
        <v>8400</v>
      </c>
      <c r="G44" s="12">
        <v>1350</v>
      </c>
    </row>
    <row r="45" spans="1:7" x14ac:dyDescent="0.3">
      <c r="A45" s="3">
        <v>1044</v>
      </c>
      <c r="B45" s="4">
        <v>45335</v>
      </c>
      <c r="C45" s="5" t="s">
        <v>66</v>
      </c>
      <c r="D45" s="5" t="s">
        <v>67</v>
      </c>
      <c r="E45" s="5" t="s">
        <v>65</v>
      </c>
      <c r="F45" s="11">
        <v>14200</v>
      </c>
      <c r="G45" s="12">
        <v>2350</v>
      </c>
    </row>
    <row r="46" spans="1:7" x14ac:dyDescent="0.3">
      <c r="A46" s="3">
        <v>1045</v>
      </c>
      <c r="B46" s="4">
        <v>45336</v>
      </c>
      <c r="C46" s="5" t="s">
        <v>58</v>
      </c>
      <c r="D46" s="5" t="s">
        <v>68</v>
      </c>
      <c r="E46" s="5" t="s">
        <v>60</v>
      </c>
      <c r="F46" s="11">
        <v>16200</v>
      </c>
      <c r="G46" s="12">
        <v>2600</v>
      </c>
    </row>
    <row r="47" spans="1:7" x14ac:dyDescent="0.3">
      <c r="A47" s="3">
        <v>1046</v>
      </c>
      <c r="B47" s="4">
        <v>45337</v>
      </c>
      <c r="C47" s="5" t="s">
        <v>61</v>
      </c>
      <c r="D47" s="5" t="s">
        <v>59</v>
      </c>
      <c r="E47" s="5" t="s">
        <v>60</v>
      </c>
      <c r="F47" s="11">
        <v>60500</v>
      </c>
      <c r="G47" s="12">
        <v>9050</v>
      </c>
    </row>
    <row r="48" spans="1:7" x14ac:dyDescent="0.3">
      <c r="A48" s="3">
        <v>1047</v>
      </c>
      <c r="B48" s="4">
        <v>45338</v>
      </c>
      <c r="C48" s="5" t="s">
        <v>63</v>
      </c>
      <c r="D48" s="5" t="s">
        <v>62</v>
      </c>
      <c r="E48" s="5" t="s">
        <v>60</v>
      </c>
      <c r="F48" s="11">
        <v>29000</v>
      </c>
      <c r="G48" s="12">
        <v>4200</v>
      </c>
    </row>
    <row r="49" spans="1:7" x14ac:dyDescent="0.3">
      <c r="A49" s="3">
        <v>1048</v>
      </c>
      <c r="B49" s="4">
        <v>45339</v>
      </c>
      <c r="C49" s="5" t="s">
        <v>66</v>
      </c>
      <c r="D49" s="5" t="s">
        <v>64</v>
      </c>
      <c r="E49" s="5" t="s">
        <v>65</v>
      </c>
      <c r="F49" s="11">
        <v>8000</v>
      </c>
      <c r="G49" s="12">
        <v>1200</v>
      </c>
    </row>
    <row r="50" spans="1:7" x14ac:dyDescent="0.3">
      <c r="A50" s="3">
        <v>1049</v>
      </c>
      <c r="B50" s="4">
        <v>45340</v>
      </c>
      <c r="C50" s="5" t="s">
        <v>58</v>
      </c>
      <c r="D50" s="5" t="s">
        <v>67</v>
      </c>
      <c r="E50" s="5" t="s">
        <v>65</v>
      </c>
      <c r="F50" s="11">
        <v>13600</v>
      </c>
      <c r="G50" s="12">
        <v>2200</v>
      </c>
    </row>
    <row r="51" spans="1:7" x14ac:dyDescent="0.3">
      <c r="A51" s="6">
        <v>1050</v>
      </c>
      <c r="B51" s="7">
        <v>45341</v>
      </c>
      <c r="C51" s="8" t="s">
        <v>61</v>
      </c>
      <c r="D51" s="8" t="s">
        <v>68</v>
      </c>
      <c r="E51" s="8" t="s">
        <v>60</v>
      </c>
      <c r="F51" s="13">
        <v>17500</v>
      </c>
      <c r="G51" s="14">
        <v>2800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0F795-11BD-4BBB-ADF3-0259996F9931}">
  <dimension ref="A2:C31"/>
  <sheetViews>
    <sheetView zoomScale="66" zoomScaleNormal="95" workbookViewId="0">
      <selection activeCell="W21" sqref="W21"/>
    </sheetView>
  </sheetViews>
  <sheetFormatPr defaultRowHeight="14.4" x14ac:dyDescent="0.3"/>
  <cols>
    <col min="1" max="1" width="10.88671875" bestFit="1" customWidth="1"/>
    <col min="2" max="2" width="13.44140625" bestFit="1" customWidth="1"/>
    <col min="4" max="4" width="10.77734375" bestFit="1" customWidth="1"/>
    <col min="5" max="5" width="14.44140625" bestFit="1" customWidth="1"/>
    <col min="6" max="6" width="13.21875" bestFit="1" customWidth="1"/>
  </cols>
  <sheetData>
    <row r="2" spans="1:3" ht="21" x14ac:dyDescent="0.3">
      <c r="A2" s="21" t="s">
        <v>71</v>
      </c>
      <c r="B2" s="21"/>
      <c r="C2" s="20"/>
    </row>
    <row r="3" spans="1:3" x14ac:dyDescent="0.3">
      <c r="A3" s="18" t="s">
        <v>53</v>
      </c>
      <c r="B3" t="s">
        <v>73</v>
      </c>
    </row>
    <row r="4" spans="1:3" x14ac:dyDescent="0.3">
      <c r="A4" s="19" t="s">
        <v>63</v>
      </c>
      <c r="B4" s="15">
        <v>283200</v>
      </c>
    </row>
    <row r="5" spans="1:3" x14ac:dyDescent="0.3">
      <c r="A5" s="19" t="s">
        <v>61</v>
      </c>
      <c r="B5" s="15">
        <v>369200</v>
      </c>
    </row>
    <row r="6" spans="1:3" x14ac:dyDescent="0.3">
      <c r="A6" s="19" t="s">
        <v>58</v>
      </c>
      <c r="B6" s="15">
        <v>328900</v>
      </c>
    </row>
    <row r="7" spans="1:3" x14ac:dyDescent="0.3">
      <c r="A7" s="19" t="s">
        <v>66</v>
      </c>
      <c r="B7" s="15">
        <v>287900</v>
      </c>
    </row>
    <row r="8" spans="1:3" x14ac:dyDescent="0.3">
      <c r="A8" s="19" t="s">
        <v>72</v>
      </c>
      <c r="B8" s="15">
        <v>1269200</v>
      </c>
    </row>
    <row r="10" spans="1:3" ht="21" x14ac:dyDescent="0.3">
      <c r="A10" s="21" t="s">
        <v>75</v>
      </c>
      <c r="B10" s="21"/>
    </row>
    <row r="11" spans="1:3" x14ac:dyDescent="0.3">
      <c r="A11" s="18" t="s">
        <v>55</v>
      </c>
      <c r="B11" t="s">
        <v>73</v>
      </c>
    </row>
    <row r="12" spans="1:3" x14ac:dyDescent="0.3">
      <c r="A12" s="19" t="s">
        <v>60</v>
      </c>
      <c r="B12" s="15">
        <v>1052500</v>
      </c>
    </row>
    <row r="13" spans="1:3" x14ac:dyDescent="0.3">
      <c r="A13" s="19" t="s">
        <v>65</v>
      </c>
      <c r="B13" s="15">
        <v>216700</v>
      </c>
    </row>
    <row r="14" spans="1:3" x14ac:dyDescent="0.3">
      <c r="A14" s="19" t="s">
        <v>72</v>
      </c>
      <c r="B14" s="15">
        <v>1269200</v>
      </c>
    </row>
    <row r="16" spans="1:3" ht="21" x14ac:dyDescent="0.3">
      <c r="A16" s="21" t="s">
        <v>74</v>
      </c>
      <c r="B16" s="21"/>
    </row>
    <row r="17" spans="1:2" x14ac:dyDescent="0.3">
      <c r="A17" s="18" t="s">
        <v>54</v>
      </c>
      <c r="B17" t="s">
        <v>73</v>
      </c>
    </row>
    <row r="18" spans="1:2" x14ac:dyDescent="0.3">
      <c r="A18" s="19" t="s">
        <v>59</v>
      </c>
      <c r="B18" s="15">
        <v>588500</v>
      </c>
    </row>
    <row r="19" spans="1:2" x14ac:dyDescent="0.3">
      <c r="A19" s="19" t="s">
        <v>62</v>
      </c>
      <c r="B19" s="15">
        <v>300500</v>
      </c>
    </row>
    <row r="20" spans="1:2" x14ac:dyDescent="0.3">
      <c r="A20" s="19" t="s">
        <v>68</v>
      </c>
      <c r="B20" s="15">
        <v>163500</v>
      </c>
    </row>
    <row r="21" spans="1:2" x14ac:dyDescent="0.3">
      <c r="A21" s="19" t="s">
        <v>67</v>
      </c>
      <c r="B21" s="15">
        <v>136300</v>
      </c>
    </row>
    <row r="22" spans="1:2" x14ac:dyDescent="0.3">
      <c r="A22" s="19" t="s">
        <v>64</v>
      </c>
      <c r="B22" s="15">
        <v>80400</v>
      </c>
    </row>
    <row r="23" spans="1:2" x14ac:dyDescent="0.3">
      <c r="A23" s="19" t="s">
        <v>72</v>
      </c>
      <c r="B23" s="15">
        <v>1269200</v>
      </c>
    </row>
    <row r="27" spans="1:2" ht="21" x14ac:dyDescent="0.3">
      <c r="A27" s="21" t="s">
        <v>74</v>
      </c>
      <c r="B27" s="21"/>
    </row>
    <row r="28" spans="1:2" x14ac:dyDescent="0.3">
      <c r="A28" s="18" t="s">
        <v>54</v>
      </c>
      <c r="B28" t="s">
        <v>73</v>
      </c>
    </row>
    <row r="29" spans="1:2" x14ac:dyDescent="0.3">
      <c r="A29" s="19" t="s">
        <v>76</v>
      </c>
      <c r="B29" s="15">
        <v>812700</v>
      </c>
    </row>
    <row r="30" spans="1:2" x14ac:dyDescent="0.3">
      <c r="A30" s="19" t="s">
        <v>77</v>
      </c>
      <c r="B30" s="15">
        <v>456500</v>
      </c>
    </row>
    <row r="31" spans="1:2" x14ac:dyDescent="0.3">
      <c r="A31" s="19" t="s">
        <v>72</v>
      </c>
      <c r="B31" s="15">
        <v>1269200</v>
      </c>
    </row>
  </sheetData>
  <mergeCells count="4">
    <mergeCell ref="A2:B2"/>
    <mergeCell ref="A16:B16"/>
    <mergeCell ref="A10:B10"/>
    <mergeCell ref="A27:B27"/>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1D4B-27E9-451D-A642-A7170E0EA992}">
  <dimension ref="A1:N39"/>
  <sheetViews>
    <sheetView showGridLines="0" tabSelected="1" zoomScale="83" workbookViewId="0">
      <selection activeCell="R6" sqref="R6"/>
    </sheetView>
  </sheetViews>
  <sheetFormatPr defaultRowHeight="14.4" x14ac:dyDescent="0.3"/>
  <cols>
    <col min="1" max="1" width="19.6640625" style="22" bestFit="1" customWidth="1"/>
    <col min="2" max="2" width="22.5546875" style="22" bestFit="1" customWidth="1"/>
    <col min="3" max="16384" width="8.88671875" style="22"/>
  </cols>
  <sheetData>
    <row r="1" spans="1:14" ht="34.799999999999997" customHeight="1" x14ac:dyDescent="0.3">
      <c r="A1" s="27" t="s">
        <v>81</v>
      </c>
      <c r="B1" s="27"/>
      <c r="C1" s="27"/>
      <c r="D1" s="27"/>
      <c r="E1" s="27"/>
      <c r="F1" s="27"/>
      <c r="G1" s="27"/>
      <c r="H1" s="27"/>
      <c r="I1" s="27"/>
      <c r="J1" s="27"/>
      <c r="K1" s="27"/>
      <c r="L1" s="27"/>
      <c r="M1" s="27"/>
      <c r="N1" s="23"/>
    </row>
    <row r="2" spans="1:14" x14ac:dyDescent="0.3">
      <c r="A2" s="23"/>
      <c r="B2" s="23"/>
      <c r="C2" s="23"/>
      <c r="D2" s="23"/>
      <c r="E2" s="23"/>
      <c r="F2" s="23"/>
      <c r="G2" s="23"/>
      <c r="H2" s="23"/>
      <c r="I2" s="23"/>
      <c r="J2" s="23"/>
      <c r="K2" s="23"/>
      <c r="L2" s="23"/>
      <c r="M2" s="23"/>
      <c r="N2" s="23"/>
    </row>
    <row r="3" spans="1:14" ht="23.4" x14ac:dyDescent="0.45">
      <c r="A3" s="28" t="s">
        <v>78</v>
      </c>
      <c r="B3" s="24">
        <f>SUM(sales)</f>
        <v>1269200</v>
      </c>
      <c r="C3" s="23"/>
      <c r="D3" s="23"/>
      <c r="E3" s="23"/>
      <c r="F3" s="23"/>
      <c r="G3" s="23"/>
      <c r="H3" s="23"/>
      <c r="I3" s="23"/>
      <c r="J3" s="23"/>
      <c r="K3" s="23"/>
      <c r="L3" s="23"/>
      <c r="M3" s="23"/>
      <c r="N3" s="23"/>
    </row>
    <row r="4" spans="1:14" ht="23.4" x14ac:dyDescent="0.45">
      <c r="A4" s="28" t="s">
        <v>70</v>
      </c>
      <c r="B4" s="24">
        <f>SUM(profit)</f>
        <v>192700</v>
      </c>
      <c r="C4" s="23"/>
      <c r="D4" s="23"/>
      <c r="E4" s="23"/>
      <c r="F4" s="23"/>
      <c r="G4" s="23"/>
      <c r="H4" s="23"/>
      <c r="I4" s="23"/>
      <c r="J4" s="23"/>
      <c r="K4" s="23"/>
      <c r="L4" s="23"/>
      <c r="M4" s="23"/>
      <c r="N4" s="23"/>
    </row>
    <row r="5" spans="1:14" x14ac:dyDescent="0.3">
      <c r="A5" s="23"/>
      <c r="B5" s="23"/>
      <c r="C5" s="23"/>
      <c r="D5" s="23"/>
      <c r="E5" s="23"/>
      <c r="F5" s="23"/>
      <c r="G5" s="23"/>
      <c r="H5" s="23"/>
      <c r="I5" s="23"/>
      <c r="J5" s="23"/>
      <c r="K5" s="23"/>
      <c r="L5" s="23"/>
      <c r="M5" s="23"/>
      <c r="N5" s="23"/>
    </row>
    <row r="6" spans="1:14" x14ac:dyDescent="0.3">
      <c r="A6" s="23"/>
      <c r="B6" s="23"/>
      <c r="C6" s="23"/>
      <c r="D6" s="23"/>
      <c r="E6" s="23"/>
      <c r="F6" s="23"/>
      <c r="G6" s="23"/>
      <c r="H6" s="23"/>
      <c r="I6" s="23"/>
      <c r="J6" s="23"/>
      <c r="K6" s="23"/>
      <c r="L6" s="23"/>
      <c r="M6" s="23"/>
      <c r="N6" s="23"/>
    </row>
    <row r="7" spans="1:14" ht="21.6" x14ac:dyDescent="0.4">
      <c r="A7" s="29" t="s">
        <v>79</v>
      </c>
      <c r="B7" s="29"/>
      <c r="C7" s="23"/>
      <c r="D7" s="23"/>
      <c r="E7" s="30" t="s">
        <v>82</v>
      </c>
      <c r="F7" s="26"/>
      <c r="G7" s="26"/>
      <c r="H7" s="26"/>
      <c r="I7" s="26"/>
      <c r="J7" s="26"/>
      <c r="K7" s="23"/>
      <c r="L7" s="23"/>
      <c r="M7" s="23"/>
      <c r="N7" s="23"/>
    </row>
    <row r="8" spans="1:14" x14ac:dyDescent="0.3">
      <c r="A8" s="23"/>
      <c r="B8" s="23"/>
      <c r="C8" s="23"/>
      <c r="D8" s="23"/>
      <c r="E8" s="23"/>
      <c r="F8" s="23"/>
      <c r="G8" s="23"/>
      <c r="H8" s="23"/>
      <c r="I8" s="23"/>
      <c r="J8" s="23"/>
      <c r="K8" s="23"/>
      <c r="L8" s="23"/>
      <c r="M8" s="23"/>
      <c r="N8" s="23"/>
    </row>
    <row r="9" spans="1:14" x14ac:dyDescent="0.3">
      <c r="A9" s="23"/>
      <c r="B9" s="23"/>
      <c r="C9" s="23"/>
      <c r="D9" s="23"/>
      <c r="E9" s="23"/>
      <c r="F9" s="23"/>
      <c r="G9" s="23"/>
      <c r="H9" s="23"/>
      <c r="I9" s="23"/>
      <c r="J9" s="23"/>
      <c r="K9" s="23"/>
      <c r="L9" s="23"/>
      <c r="M9" s="23"/>
      <c r="N9" s="23"/>
    </row>
    <row r="10" spans="1:14" x14ac:dyDescent="0.3">
      <c r="A10" s="23"/>
      <c r="B10" s="23"/>
      <c r="C10" s="23"/>
      <c r="D10" s="23"/>
      <c r="E10" s="23"/>
      <c r="F10" s="23"/>
      <c r="G10" s="23"/>
      <c r="H10" s="23"/>
      <c r="I10" s="23"/>
      <c r="J10" s="23"/>
      <c r="K10" s="23"/>
      <c r="L10" s="23"/>
      <c r="M10" s="23"/>
      <c r="N10" s="23"/>
    </row>
    <row r="11" spans="1:14" x14ac:dyDescent="0.3">
      <c r="A11" s="23"/>
      <c r="B11" s="23"/>
      <c r="C11" s="23"/>
      <c r="D11" s="23"/>
      <c r="E11" s="23"/>
      <c r="F11" s="23"/>
      <c r="G11" s="23"/>
      <c r="H11" s="23"/>
      <c r="I11" s="23"/>
      <c r="J11" s="23"/>
      <c r="K11" s="23"/>
      <c r="L11" s="23"/>
      <c r="M11" s="23"/>
      <c r="N11" s="23"/>
    </row>
    <row r="12" spans="1:14" x14ac:dyDescent="0.3">
      <c r="A12" s="23"/>
      <c r="B12" s="23"/>
      <c r="C12" s="23"/>
      <c r="D12" s="23"/>
      <c r="E12" s="23"/>
      <c r="F12" s="23"/>
      <c r="G12" s="23"/>
      <c r="H12" s="23"/>
      <c r="I12" s="23"/>
      <c r="J12" s="23"/>
      <c r="K12" s="23"/>
      <c r="L12" s="23"/>
      <c r="M12" s="23"/>
      <c r="N12" s="23"/>
    </row>
    <row r="13" spans="1:14" x14ac:dyDescent="0.3">
      <c r="A13" s="23"/>
      <c r="B13" s="23"/>
      <c r="C13" s="23"/>
      <c r="D13" s="23"/>
      <c r="E13" s="23"/>
      <c r="F13" s="23"/>
      <c r="G13" s="23"/>
      <c r="H13" s="23"/>
      <c r="I13" s="23"/>
      <c r="J13" s="23"/>
      <c r="K13" s="23"/>
      <c r="L13" s="23"/>
      <c r="M13" s="23"/>
      <c r="N13" s="23"/>
    </row>
    <row r="14" spans="1:14" x14ac:dyDescent="0.3">
      <c r="A14" s="23"/>
      <c r="B14" s="23"/>
      <c r="C14" s="23"/>
      <c r="D14" s="23"/>
      <c r="E14" s="23"/>
      <c r="F14" s="23"/>
      <c r="G14" s="23"/>
      <c r="H14" s="23"/>
      <c r="I14" s="23"/>
      <c r="J14" s="23"/>
      <c r="K14" s="23"/>
      <c r="L14" s="23"/>
      <c r="M14" s="23"/>
      <c r="N14" s="23"/>
    </row>
    <row r="15" spans="1:14" x14ac:dyDescent="0.3">
      <c r="A15" s="23"/>
      <c r="B15" s="23"/>
      <c r="C15" s="23"/>
      <c r="D15" s="23"/>
      <c r="E15" s="23"/>
      <c r="F15" s="23"/>
      <c r="G15" s="23"/>
      <c r="H15" s="23"/>
      <c r="I15" s="23"/>
      <c r="J15" s="23"/>
      <c r="K15" s="23"/>
      <c r="L15" s="23"/>
      <c r="M15" s="23"/>
      <c r="N15" s="23"/>
    </row>
    <row r="16" spans="1:14" x14ac:dyDescent="0.3">
      <c r="A16" s="23"/>
      <c r="B16" s="23"/>
      <c r="C16" s="23"/>
      <c r="D16" s="23"/>
      <c r="E16" s="23"/>
      <c r="F16" s="23"/>
      <c r="G16" s="23"/>
      <c r="H16" s="23"/>
      <c r="I16" s="23"/>
      <c r="J16" s="23"/>
      <c r="K16" s="23"/>
      <c r="L16" s="23"/>
      <c r="M16" s="23"/>
      <c r="N16" s="23"/>
    </row>
    <row r="17" spans="1:14" x14ac:dyDescent="0.3">
      <c r="A17" s="23"/>
      <c r="B17" s="23"/>
      <c r="C17" s="23"/>
      <c r="D17" s="23"/>
      <c r="E17" s="23"/>
      <c r="F17" s="23"/>
      <c r="G17" s="23"/>
      <c r="H17" s="23"/>
      <c r="I17" s="23"/>
      <c r="J17" s="23"/>
      <c r="K17" s="23"/>
      <c r="L17" s="23"/>
      <c r="M17" s="23"/>
      <c r="N17" s="23"/>
    </row>
    <row r="18" spans="1:14" x14ac:dyDescent="0.3">
      <c r="A18" s="23"/>
      <c r="B18" s="23"/>
      <c r="C18" s="23"/>
      <c r="D18" s="23"/>
      <c r="E18" s="23"/>
      <c r="F18" s="23"/>
      <c r="G18" s="23"/>
      <c r="H18" s="23"/>
      <c r="I18" s="23"/>
      <c r="J18" s="23"/>
      <c r="K18" s="23"/>
      <c r="L18" s="23"/>
      <c r="M18" s="23"/>
      <c r="N18" s="23"/>
    </row>
    <row r="19" spans="1:14" x14ac:dyDescent="0.3">
      <c r="A19" s="23"/>
      <c r="B19" s="23"/>
      <c r="C19" s="23"/>
      <c r="D19" s="23"/>
      <c r="E19" s="23"/>
      <c r="F19" s="23"/>
      <c r="G19" s="23"/>
      <c r="H19" s="23"/>
      <c r="I19" s="23"/>
      <c r="J19" s="23"/>
      <c r="K19" s="23"/>
      <c r="L19" s="23"/>
      <c r="M19" s="23"/>
      <c r="N19" s="23"/>
    </row>
    <row r="20" spans="1:14" x14ac:dyDescent="0.3">
      <c r="A20" s="23"/>
      <c r="B20" s="23"/>
      <c r="C20" s="23"/>
      <c r="D20" s="23"/>
      <c r="E20" s="23"/>
      <c r="F20" s="23"/>
      <c r="G20" s="23"/>
      <c r="H20" s="23"/>
      <c r="I20" s="23"/>
      <c r="J20" s="23"/>
      <c r="K20" s="23"/>
      <c r="L20" s="23"/>
      <c r="M20" s="23"/>
      <c r="N20" s="23"/>
    </row>
    <row r="21" spans="1:14" x14ac:dyDescent="0.3">
      <c r="A21" s="23"/>
      <c r="B21" s="23"/>
      <c r="C21" s="23"/>
      <c r="D21" s="23"/>
      <c r="E21" s="23"/>
      <c r="F21" s="23"/>
      <c r="G21" s="23"/>
      <c r="H21" s="23"/>
      <c r="I21" s="23"/>
      <c r="J21" s="23"/>
      <c r="K21" s="23"/>
      <c r="L21" s="23"/>
      <c r="M21" s="23"/>
      <c r="N21" s="23"/>
    </row>
    <row r="22" spans="1:14" x14ac:dyDescent="0.3">
      <c r="A22" s="23"/>
      <c r="B22" s="23"/>
      <c r="C22" s="23"/>
      <c r="D22" s="23"/>
      <c r="E22" s="23"/>
      <c r="F22" s="23"/>
      <c r="G22" s="23"/>
      <c r="H22" s="23"/>
      <c r="I22" s="23"/>
      <c r="J22" s="23"/>
      <c r="K22" s="23"/>
      <c r="L22" s="23"/>
      <c r="M22" s="23"/>
      <c r="N22" s="23"/>
    </row>
    <row r="23" spans="1:14" x14ac:dyDescent="0.3">
      <c r="A23" s="23"/>
      <c r="B23" s="23"/>
      <c r="C23" s="23"/>
      <c r="D23" s="23"/>
      <c r="E23" s="23"/>
      <c r="F23" s="23"/>
      <c r="G23" s="23"/>
      <c r="H23" s="23"/>
      <c r="I23" s="23"/>
      <c r="J23" s="23"/>
      <c r="K23" s="23"/>
      <c r="L23" s="23"/>
      <c r="M23" s="23"/>
      <c r="N23" s="23"/>
    </row>
    <row r="24" spans="1:14" ht="21.6" x14ac:dyDescent="0.4">
      <c r="A24" s="29" t="s">
        <v>80</v>
      </c>
      <c r="B24" s="29"/>
      <c r="C24" s="23"/>
      <c r="D24" s="23"/>
      <c r="E24" s="25" t="s">
        <v>83</v>
      </c>
      <c r="F24" s="25"/>
      <c r="G24" s="25"/>
      <c r="H24" s="25"/>
      <c r="I24" s="25"/>
      <c r="J24" s="25"/>
      <c r="K24" s="23"/>
      <c r="L24" s="23"/>
      <c r="M24" s="23"/>
      <c r="N24" s="23"/>
    </row>
    <row r="25" spans="1:14" x14ac:dyDescent="0.3">
      <c r="A25" s="23"/>
      <c r="B25" s="23"/>
      <c r="C25" s="23"/>
      <c r="D25" s="23"/>
      <c r="E25" s="23"/>
      <c r="F25" s="23"/>
      <c r="G25" s="23"/>
      <c r="H25" s="23"/>
      <c r="I25" s="23"/>
      <c r="J25" s="23"/>
      <c r="K25" s="23"/>
      <c r="L25" s="23"/>
      <c r="M25" s="23"/>
      <c r="N25" s="23"/>
    </row>
    <row r="26" spans="1:14" x14ac:dyDescent="0.3">
      <c r="A26" s="23"/>
      <c r="B26" s="23"/>
      <c r="C26" s="23"/>
      <c r="D26" s="23"/>
      <c r="E26" s="23"/>
      <c r="F26" s="23"/>
      <c r="G26" s="23"/>
      <c r="H26" s="23"/>
      <c r="I26" s="23"/>
      <c r="J26" s="23"/>
      <c r="K26" s="23"/>
      <c r="L26" s="23"/>
      <c r="M26" s="23"/>
      <c r="N26" s="23"/>
    </row>
    <row r="27" spans="1:14" x14ac:dyDescent="0.3">
      <c r="A27" s="23"/>
      <c r="B27" s="23"/>
      <c r="C27" s="23"/>
      <c r="D27" s="23"/>
      <c r="E27" s="23"/>
      <c r="F27" s="23"/>
      <c r="G27" s="23"/>
      <c r="H27" s="23"/>
      <c r="I27" s="23"/>
      <c r="J27" s="23"/>
      <c r="K27" s="23"/>
      <c r="L27" s="23"/>
      <c r="M27" s="23"/>
      <c r="N27" s="23"/>
    </row>
    <row r="28" spans="1:14" x14ac:dyDescent="0.3">
      <c r="A28" s="23"/>
      <c r="B28" s="23"/>
      <c r="C28" s="23"/>
      <c r="D28" s="23"/>
      <c r="E28" s="23"/>
      <c r="F28" s="23"/>
      <c r="G28" s="23"/>
      <c r="H28" s="23"/>
      <c r="I28" s="23"/>
      <c r="J28" s="23"/>
      <c r="K28" s="23"/>
      <c r="L28" s="23"/>
      <c r="M28" s="23"/>
      <c r="N28" s="23"/>
    </row>
    <row r="29" spans="1:14" x14ac:dyDescent="0.3">
      <c r="A29" s="23"/>
      <c r="B29" s="23"/>
      <c r="C29" s="23"/>
      <c r="D29" s="23"/>
      <c r="E29" s="23"/>
      <c r="F29" s="23"/>
      <c r="G29" s="23"/>
      <c r="H29" s="23"/>
      <c r="I29" s="23"/>
      <c r="J29" s="23"/>
      <c r="K29" s="23"/>
      <c r="L29" s="23"/>
      <c r="M29" s="23"/>
      <c r="N29" s="23"/>
    </row>
    <row r="30" spans="1:14" x14ac:dyDescent="0.3">
      <c r="A30" s="23"/>
      <c r="B30" s="23"/>
      <c r="C30" s="23"/>
      <c r="D30" s="23"/>
      <c r="E30" s="23"/>
      <c r="F30" s="23"/>
      <c r="G30" s="23"/>
      <c r="H30" s="23"/>
      <c r="I30" s="23"/>
      <c r="J30" s="23"/>
      <c r="K30" s="23"/>
      <c r="L30" s="23"/>
      <c r="M30" s="23"/>
      <c r="N30" s="23"/>
    </row>
    <row r="31" spans="1:14" x14ac:dyDescent="0.3">
      <c r="A31" s="23"/>
      <c r="B31" s="23"/>
      <c r="C31" s="23"/>
      <c r="D31" s="23"/>
      <c r="E31" s="23"/>
      <c r="F31" s="23"/>
      <c r="G31" s="23"/>
      <c r="H31" s="23"/>
      <c r="I31" s="23"/>
      <c r="J31" s="23"/>
      <c r="K31" s="23"/>
      <c r="L31" s="23"/>
      <c r="M31" s="23"/>
      <c r="N31" s="23"/>
    </row>
    <row r="32" spans="1:14" x14ac:dyDescent="0.3">
      <c r="A32" s="23"/>
      <c r="B32" s="23"/>
      <c r="C32" s="23"/>
      <c r="D32" s="23"/>
      <c r="E32" s="23"/>
      <c r="F32" s="23"/>
      <c r="G32" s="23"/>
      <c r="H32" s="23"/>
      <c r="I32" s="23"/>
      <c r="J32" s="23"/>
      <c r="K32" s="23"/>
      <c r="L32" s="23"/>
      <c r="M32" s="23"/>
      <c r="N32" s="23"/>
    </row>
    <row r="33" spans="1:14" x14ac:dyDescent="0.3">
      <c r="A33" s="23"/>
      <c r="B33" s="23"/>
      <c r="C33" s="23"/>
      <c r="D33" s="23"/>
      <c r="E33" s="23"/>
      <c r="F33" s="23"/>
      <c r="G33" s="23"/>
      <c r="H33" s="23"/>
      <c r="I33" s="23"/>
      <c r="J33" s="23"/>
      <c r="K33" s="23"/>
      <c r="L33" s="23"/>
      <c r="M33" s="23"/>
      <c r="N33" s="23"/>
    </row>
    <row r="34" spans="1:14" x14ac:dyDescent="0.3">
      <c r="A34" s="23"/>
      <c r="B34" s="23"/>
      <c r="C34" s="23"/>
      <c r="D34" s="23"/>
      <c r="E34" s="23"/>
      <c r="F34" s="23"/>
      <c r="G34" s="23"/>
      <c r="H34" s="23"/>
      <c r="I34" s="23"/>
      <c r="J34" s="23"/>
      <c r="K34" s="23"/>
      <c r="L34" s="23"/>
      <c r="M34" s="23"/>
      <c r="N34" s="23"/>
    </row>
    <row r="35" spans="1:14" x14ac:dyDescent="0.3">
      <c r="A35" s="23"/>
      <c r="B35" s="23"/>
      <c r="C35" s="23"/>
      <c r="D35" s="23"/>
      <c r="E35" s="23"/>
      <c r="F35" s="23"/>
      <c r="G35" s="23"/>
      <c r="H35" s="23"/>
      <c r="I35" s="23"/>
      <c r="J35" s="23"/>
      <c r="K35" s="23"/>
      <c r="L35" s="23"/>
      <c r="M35" s="23"/>
      <c r="N35" s="23"/>
    </row>
    <row r="36" spans="1:14" x14ac:dyDescent="0.3">
      <c r="A36" s="23"/>
      <c r="B36" s="23"/>
      <c r="C36" s="23"/>
      <c r="D36" s="23"/>
      <c r="E36" s="23"/>
      <c r="F36" s="23"/>
      <c r="G36" s="23"/>
      <c r="H36" s="23"/>
      <c r="I36" s="23"/>
      <c r="J36" s="23"/>
      <c r="K36" s="23"/>
      <c r="L36" s="23"/>
      <c r="M36" s="23"/>
      <c r="N36" s="23"/>
    </row>
    <row r="37" spans="1:14" x14ac:dyDescent="0.3">
      <c r="A37" s="23"/>
      <c r="B37" s="23"/>
      <c r="C37" s="23"/>
      <c r="D37" s="23"/>
      <c r="E37" s="23"/>
      <c r="F37" s="23"/>
      <c r="G37" s="23"/>
      <c r="H37" s="23"/>
      <c r="I37" s="23"/>
      <c r="J37" s="23"/>
      <c r="K37" s="23"/>
      <c r="L37" s="23"/>
      <c r="M37" s="23"/>
      <c r="N37" s="23"/>
    </row>
    <row r="38" spans="1:14" x14ac:dyDescent="0.3">
      <c r="A38" s="23"/>
      <c r="B38" s="23"/>
      <c r="C38" s="23"/>
      <c r="D38" s="23"/>
      <c r="E38" s="23"/>
      <c r="F38" s="23"/>
      <c r="G38" s="23"/>
      <c r="H38" s="23"/>
      <c r="I38" s="23"/>
      <c r="J38" s="23"/>
      <c r="K38" s="23"/>
      <c r="L38" s="23"/>
      <c r="M38" s="23"/>
      <c r="N38" s="23"/>
    </row>
    <row r="39" spans="1:14" x14ac:dyDescent="0.3">
      <c r="A39" s="23"/>
      <c r="B39" s="23"/>
      <c r="C39" s="23"/>
      <c r="D39" s="23"/>
      <c r="E39" s="23"/>
      <c r="F39" s="23"/>
      <c r="G39" s="23"/>
      <c r="H39" s="23"/>
      <c r="I39" s="23"/>
      <c r="J39" s="23"/>
      <c r="K39" s="23"/>
      <c r="L39" s="23"/>
      <c r="M39" s="23"/>
      <c r="N39" s="23"/>
    </row>
  </sheetData>
  <mergeCells count="6">
    <mergeCell ref="E24:F24"/>
    <mergeCell ref="I24:J24"/>
    <mergeCell ref="A7:B7"/>
    <mergeCell ref="A1:M1"/>
    <mergeCell ref="A24:B24"/>
    <mergeCell ref="G24:H2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Raw_data</vt:lpstr>
      <vt:lpstr>cleaned_data</vt:lpstr>
      <vt:lpstr>Pivot_Table_area</vt:lpstr>
      <vt:lpstr>Dash_board</vt:lpstr>
      <vt:lpstr>profit</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kumar Velpula</dc:creator>
  <cp:lastModifiedBy>Manoj kumar Velpula</cp:lastModifiedBy>
  <cp:lastPrinted>2026-03-04T06:53:11Z</cp:lastPrinted>
  <dcterms:created xsi:type="dcterms:W3CDTF">2026-03-04T06:45:53Z</dcterms:created>
  <dcterms:modified xsi:type="dcterms:W3CDTF">2026-03-04T07:53:39Z</dcterms:modified>
</cp:coreProperties>
</file>